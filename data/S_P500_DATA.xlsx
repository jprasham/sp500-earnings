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"/>
    </mc:Choice>
  </mc:AlternateContent>
  <xr:revisionPtr revIDLastSave="0" documentId="13_ncr:1_{2018CAC2-B0A2-4F30-8B41-6B5058578C68}" xr6:coauthVersionLast="47" xr6:coauthVersionMax="47" xr10:uidLastSave="{00000000-0000-0000-0000-000000000000}"/>
  <bookViews>
    <workbookView xWindow="-98" yWindow="-98" windowWidth="22695" windowHeight="13546" firstSheet="1" activeTab="1" xr2:uid="{19CD61F6-541F-45D6-8B66-0D7732FB4E79}"/>
  </bookViews>
  <sheets>
    <sheet name="__FDSCACHE__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1" i="1" l="1" a="1"/>
  <c r="D496" i="1" a="1"/>
  <c r="E490" i="1" a="1"/>
  <c r="F484" i="1" a="1"/>
  <c r="E499" i="1" a="1"/>
  <c r="E496" i="1" a="1"/>
  <c r="F490" i="1" a="1"/>
  <c r="D485" i="1" a="1"/>
  <c r="E479" i="1" a="1"/>
  <c r="F473" i="1" a="1"/>
  <c r="D468" i="1" a="1"/>
  <c r="E462" i="1" a="1"/>
  <c r="F456" i="1" a="1"/>
  <c r="F453" i="1" a="1"/>
  <c r="D448" i="1" a="1"/>
  <c r="E442" i="1" a="1"/>
  <c r="F436" i="1" a="1"/>
  <c r="D431" i="1" a="1"/>
  <c r="E425" i="1" a="1"/>
  <c r="F419" i="1" a="1"/>
  <c r="D414" i="1" a="1"/>
  <c r="D411" i="1" a="1"/>
  <c r="E405" i="1" a="1"/>
  <c r="F399" i="1" a="1"/>
  <c r="D394" i="1" a="1"/>
  <c r="E388" i="1" a="1"/>
  <c r="F382" i="1" a="1"/>
  <c r="D377" i="1" a="1"/>
  <c r="E371" i="1" a="1"/>
  <c r="E368" i="1" a="1"/>
  <c r="F362" i="1" a="1"/>
  <c r="D357" i="1" a="1"/>
  <c r="E351" i="1" a="1"/>
  <c r="F345" i="1" a="1"/>
  <c r="D340" i="1" a="1"/>
  <c r="E334" i="1" a="1"/>
  <c r="F328" i="1" a="1"/>
  <c r="F325" i="1" a="1"/>
  <c r="D320" i="1" a="1"/>
  <c r="E314" i="1" a="1"/>
  <c r="F308" i="1" a="1"/>
  <c r="D303" i="1" a="1"/>
  <c r="E297" i="1" a="1"/>
  <c r="F291" i="1" a="1"/>
  <c r="D286" i="1" a="1"/>
  <c r="D283" i="1" a="1"/>
  <c r="E277" i="1" a="1"/>
  <c r="F274" i="1" a="1"/>
  <c r="D272" i="1" a="1"/>
  <c r="E269" i="1" a="1"/>
  <c r="F266" i="1" a="1"/>
  <c r="D264" i="1" a="1"/>
  <c r="E261" i="1" a="1"/>
  <c r="F258" i="1" a="1"/>
  <c r="D256" i="1" a="1"/>
  <c r="E253" i="1" a="1"/>
  <c r="F250" i="1" a="1"/>
  <c r="D248" i="1" a="1"/>
  <c r="E245" i="1" a="1"/>
  <c r="F242" i="1" a="1"/>
  <c r="D240" i="1" a="1"/>
  <c r="E237" i="1" a="1"/>
  <c r="F234" i="1" a="1"/>
  <c r="D232" i="1" a="1"/>
  <c r="E229" i="1" a="1"/>
  <c r="F226" i="1" a="1"/>
  <c r="D224" i="1" a="1"/>
  <c r="E221" i="1" a="1"/>
  <c r="F218" i="1" a="1"/>
  <c r="D216" i="1" a="1"/>
  <c r="E213" i="1" a="1"/>
  <c r="F210" i="1" a="1"/>
  <c r="D208" i="1" a="1"/>
  <c r="E205" i="1" a="1"/>
  <c r="F202" i="1" a="1"/>
  <c r="D200" i="1" a="1"/>
  <c r="E197" i="1" a="1"/>
  <c r="E495" i="1" a="1"/>
  <c r="D489" i="1" a="1"/>
  <c r="F485" i="1" a="1"/>
  <c r="E476" i="1" a="1"/>
  <c r="E473" i="1" a="1"/>
  <c r="E470" i="1" a="1"/>
  <c r="E467" i="1" a="1"/>
  <c r="D443" i="1" a="1"/>
  <c r="D440" i="1" a="1"/>
  <c r="D437" i="1" a="1"/>
  <c r="D434" i="1" a="1"/>
  <c r="F421" i="1" a="1"/>
  <c r="F418" i="1" a="1"/>
  <c r="F415" i="1" a="1"/>
  <c r="F412" i="1" a="1"/>
  <c r="F409" i="1" a="1"/>
  <c r="F406" i="1" a="1"/>
  <c r="F403" i="1" a="1"/>
  <c r="F400" i="1" a="1"/>
  <c r="E385" i="1" a="1"/>
  <c r="E382" i="1" a="1"/>
  <c r="E379" i="1" a="1"/>
  <c r="D355" i="1" a="1"/>
  <c r="D352" i="1" a="1"/>
  <c r="D349" i="1" a="1"/>
  <c r="D346" i="1" a="1"/>
  <c r="D343" i="1" a="1"/>
  <c r="F333" i="1" a="1"/>
  <c r="F330" i="1" a="1"/>
  <c r="F327" i="1" a="1"/>
  <c r="F324" i="1" a="1"/>
  <c r="F321" i="1" a="1"/>
  <c r="F318" i="1" a="1"/>
  <c r="F315" i="1" a="1"/>
  <c r="F312" i="1" a="1"/>
  <c r="E294" i="1" a="1"/>
  <c r="E291" i="1" a="1"/>
  <c r="E273" i="1" a="1"/>
  <c r="F267" i="1" a="1"/>
  <c r="D262" i="1" a="1"/>
  <c r="E256" i="1" a="1"/>
  <c r="F247" i="1" a="1"/>
  <c r="D242" i="1" a="1"/>
  <c r="E236" i="1" a="1"/>
  <c r="F230" i="1" a="1"/>
  <c r="D225" i="1" a="1"/>
  <c r="E219" i="1" a="1"/>
  <c r="F213" i="1" a="1"/>
  <c r="D205" i="1" a="1"/>
  <c r="E199" i="1" a="1"/>
  <c r="F497" i="1" a="1"/>
  <c r="E494" i="1" a="1"/>
  <c r="F480" i="1" a="1"/>
  <c r="E477" i="1" a="1"/>
  <c r="D471" i="1" a="1"/>
  <c r="F467" i="1" a="1"/>
  <c r="E464" i="1" a="1"/>
  <c r="D461" i="1" a="1"/>
  <c r="F454" i="1" a="1"/>
  <c r="F441" i="1" a="1"/>
  <c r="D501" i="1" a="1"/>
  <c r="D487" i="1" a="1"/>
  <c r="F483" i="1" a="1"/>
  <c r="E480" i="1" a="1"/>
  <c r="D474" i="1" a="1"/>
  <c r="F470" i="1" a="1"/>
  <c r="D464" i="1" a="1"/>
  <c r="F457" i="1" a="1"/>
  <c r="E451" i="1" a="1"/>
  <c r="F444" i="1" a="1"/>
  <c r="E438" i="1" a="1"/>
  <c r="D435" i="1" a="1"/>
  <c r="F500" i="1" a="1"/>
  <c r="E497" i="1" a="1"/>
  <c r="D494" i="1" a="1"/>
  <c r="D477" i="1" a="1"/>
  <c r="D467" i="1" a="1"/>
  <c r="F460" i="1" a="1"/>
  <c r="E454" i="1" a="1"/>
  <c r="D451" i="1" a="1"/>
  <c r="F447" i="1" a="1"/>
  <c r="E441" i="1" a="1"/>
  <c r="F431" i="1" a="1"/>
  <c r="D422" i="1" a="1"/>
  <c r="E415" i="1" a="1"/>
  <c r="D409" i="1" a="1"/>
  <c r="F405" i="1" a="1"/>
  <c r="E402" i="1" a="1"/>
  <c r="D396" i="1" a="1"/>
  <c r="E386" i="1" a="1"/>
  <c r="D380" i="1" a="1"/>
  <c r="F376" i="1" a="1"/>
  <c r="E373" i="1" a="1"/>
  <c r="D370" i="1" a="1"/>
  <c r="F363" i="1" a="1"/>
  <c r="E360" i="1" a="1"/>
  <c r="F350" i="1" a="1"/>
  <c r="D341" i="1" a="1"/>
  <c r="F334" i="1" a="1"/>
  <c r="E331" i="1" a="1"/>
  <c r="D328" i="1" a="1"/>
  <c r="E318" i="1" a="1"/>
  <c r="F493" i="1" a="1"/>
  <c r="D490" i="1" a="1"/>
  <c r="F486" i="1" a="1"/>
  <c r="E483" i="1" a="1"/>
  <c r="D480" i="1" a="1"/>
  <c r="F463" i="1" a="1"/>
  <c r="E457" i="1" a="1"/>
  <c r="F450" i="1" a="1"/>
  <c r="E444" i="1" a="1"/>
  <c r="D438" i="1" a="1"/>
  <c r="F434" i="1" a="1"/>
  <c r="E428" i="1" a="1"/>
  <c r="D425" i="1" a="1"/>
  <c r="E418" i="1" a="1"/>
  <c r="D412" i="1" a="1"/>
  <c r="D399" i="1" a="1"/>
  <c r="F392" i="1" a="1"/>
  <c r="E389" i="1" a="1"/>
  <c r="D383" i="1" a="1"/>
  <c r="F379" i="1" a="1"/>
  <c r="E376" i="1" a="1"/>
  <c r="D373" i="1" a="1"/>
  <c r="F366" i="1" a="1"/>
  <c r="F353" i="1" a="1"/>
  <c r="E347" i="1" a="1"/>
  <c r="D344" i="1" a="1"/>
  <c r="F337" i="1" a="1"/>
  <c r="D331" i="1" a="1"/>
  <c r="E321" i="1" a="1"/>
  <c r="F311" i="1" a="1"/>
  <c r="E308" i="1" a="1"/>
  <c r="D302" i="1" a="1"/>
  <c r="F298" i="1" a="1"/>
  <c r="E292" i="1" a="1"/>
  <c r="F285" i="1" a="1"/>
  <c r="E279" i="1" a="1"/>
  <c r="D276" i="1" a="1"/>
  <c r="D273" i="1" a="1"/>
  <c r="D270" i="1" a="1"/>
  <c r="D267" i="1" a="1"/>
  <c r="F239" i="1" a="1"/>
  <c r="F236" i="1" a="1"/>
  <c r="F233" i="1" a="1"/>
  <c r="E218" i="1" a="1"/>
  <c r="E215" i="1" a="1"/>
  <c r="E212" i="1" a="1"/>
  <c r="E209" i="1" a="1"/>
  <c r="E206" i="1" a="1"/>
  <c r="E203" i="1" a="1"/>
  <c r="E200" i="1" a="1"/>
  <c r="E194" i="1" a="1"/>
  <c r="F188" i="1" a="1"/>
  <c r="F185" i="1" a="1"/>
  <c r="D180" i="1" a="1"/>
  <c r="E498" i="1" a="1"/>
  <c r="D495" i="1" a="1"/>
  <c r="F491" i="1" a="1"/>
  <c r="E481" i="1" a="1"/>
  <c r="F471" i="1" a="1"/>
  <c r="E465" i="1" a="1"/>
  <c r="D462" i="1" a="1"/>
  <c r="F458" i="1" a="1"/>
  <c r="E452" i="1" a="1"/>
  <c r="D449" i="1" a="1"/>
  <c r="F445" i="1" a="1"/>
  <c r="D436" i="1" a="1"/>
  <c r="E426" i="1" a="1"/>
  <c r="D420" i="1" a="1"/>
  <c r="F416" i="1" a="1"/>
  <c r="E413" i="1" a="1"/>
  <c r="D407" i="1" a="1"/>
  <c r="E400" i="1" a="1"/>
  <c r="F390" i="1" a="1"/>
  <c r="D381" i="1" a="1"/>
  <c r="F374" i="1" a="1"/>
  <c r="D368" i="1" a="1"/>
  <c r="F361" i="1" a="1"/>
  <c r="E355" i="1" a="1"/>
  <c r="F348" i="1" a="1"/>
  <c r="E345" i="1" a="1"/>
  <c r="F335" i="1" a="1"/>
  <c r="E329" i="1" a="1"/>
  <c r="F322" i="1" a="1"/>
  <c r="E316" i="1" a="1"/>
  <c r="D310" i="1" a="1"/>
  <c r="F306" i="1" a="1"/>
  <c r="E303" i="1" a="1"/>
  <c r="D300" i="1" a="1"/>
  <c r="E290" i="1" a="1"/>
  <c r="D284" i="1" a="1"/>
  <c r="E274" i="1" a="1"/>
  <c r="E271" i="1" a="1"/>
  <c r="E268" i="1" a="1"/>
  <c r="E265" i="1" a="1"/>
  <c r="E262" i="1" a="1"/>
  <c r="E259" i="1" a="1"/>
  <c r="D253" i="1" a="1"/>
  <c r="D250" i="1" a="1"/>
  <c r="D247" i="1" a="1"/>
  <c r="D244" i="1" a="1"/>
  <c r="D241" i="1" a="1"/>
  <c r="D238" i="1" a="1"/>
  <c r="D235" i="1" a="1"/>
  <c r="F192" i="1" a="1"/>
  <c r="D187" i="1" a="1"/>
  <c r="E181" i="1" a="1"/>
  <c r="F175" i="1" a="1"/>
  <c r="D170" i="1" a="1"/>
  <c r="D167" i="1" a="1"/>
  <c r="E161" i="1" a="1"/>
  <c r="F155" i="1" a="1"/>
  <c r="D150" i="1" a="1"/>
  <c r="E144" i="1" a="1"/>
  <c r="F138" i="1" a="1"/>
  <c r="D133" i="1" a="1"/>
  <c r="E127" i="1" a="1"/>
  <c r="E124" i="1" a="1"/>
  <c r="F118" i="1" a="1"/>
  <c r="D113" i="1" a="1"/>
  <c r="E107" i="1" a="1"/>
  <c r="F101" i="1" a="1"/>
  <c r="D96" i="1" a="1"/>
  <c r="E90" i="1" a="1"/>
  <c r="F84" i="1" a="1"/>
  <c r="F81" i="1" a="1"/>
  <c r="D76" i="1" a="1"/>
  <c r="E70" i="1" a="1"/>
  <c r="F64" i="1" a="1"/>
  <c r="D59" i="1" a="1"/>
  <c r="E53" i="1" a="1"/>
  <c r="F47" i="1" a="1"/>
  <c r="D42" i="1" a="1"/>
  <c r="D39" i="1" a="1"/>
  <c r="E33" i="1" a="1"/>
  <c r="F27" i="1" a="1"/>
  <c r="D22" i="1" a="1"/>
  <c r="E16" i="1" a="1"/>
  <c r="F10" i="1" a="1"/>
  <c r="D5" i="1" a="1"/>
  <c r="B494" i="1" a="1"/>
  <c r="B485" i="1" a="1"/>
  <c r="B468" i="1" a="1"/>
  <c r="B451" i="1" a="1"/>
  <c r="B434" i="1" a="1"/>
  <c r="B417" i="1" a="1"/>
  <c r="B400" i="1" a="1"/>
  <c r="B392" i="1" a="1"/>
  <c r="B384" i="1" a="1"/>
  <c r="B376" i="1" a="1"/>
  <c r="B368" i="1" a="1"/>
  <c r="B360" i="1" a="1"/>
  <c r="B352" i="1" a="1"/>
  <c r="B344" i="1" a="1"/>
  <c r="B336" i="1" a="1"/>
  <c r="B328" i="1" a="1"/>
  <c r="B320" i="1" a="1"/>
  <c r="B312" i="1" a="1"/>
  <c r="B304" i="1" a="1"/>
  <c r="B296" i="1" a="1"/>
  <c r="B288" i="1" a="1"/>
  <c r="B280" i="1" a="1"/>
  <c r="B272" i="1" a="1"/>
  <c r="B264" i="1" a="1"/>
  <c r="B256" i="1" a="1"/>
  <c r="B248" i="1" a="1"/>
  <c r="B240" i="1" a="1"/>
  <c r="B232" i="1" a="1"/>
  <c r="B224" i="1" a="1"/>
  <c r="B216" i="1" a="1"/>
  <c r="B208" i="1" a="1"/>
  <c r="B200" i="1" a="1"/>
  <c r="B192" i="1" a="1"/>
  <c r="B184" i="1" a="1"/>
  <c r="B176" i="1" a="1"/>
  <c r="B168" i="1" a="1"/>
  <c r="B160" i="1" a="1"/>
  <c r="B152" i="1" a="1"/>
  <c r="B144" i="1" a="1"/>
  <c r="B136" i="1" a="1"/>
  <c r="B128" i="1" a="1"/>
  <c r="B120" i="1" a="1"/>
  <c r="B112" i="1" a="1"/>
  <c r="B104" i="1" a="1"/>
  <c r="B96" i="1" a="1"/>
  <c r="B88" i="1" a="1"/>
  <c r="D472" i="1" a="1"/>
  <c r="F466" i="1" a="1"/>
  <c r="F462" i="1" a="1"/>
  <c r="D458" i="1" a="1"/>
  <c r="D453" i="1" a="1"/>
  <c r="F448" i="1" a="1"/>
  <c r="F443" i="1" a="1"/>
  <c r="D439" i="1" a="1"/>
  <c r="F426" i="1" a="1"/>
  <c r="F414" i="1" a="1"/>
  <c r="F410" i="1" a="1"/>
  <c r="F398" i="1" a="1"/>
  <c r="F378" i="1" a="1"/>
  <c r="D375" i="1" a="1"/>
  <c r="D367" i="1" a="1"/>
  <c r="D359" i="1" a="1"/>
  <c r="D351" i="1" a="1"/>
  <c r="D339" i="1" a="1"/>
  <c r="D327" i="1" a="1"/>
  <c r="E323" i="1" a="1"/>
  <c r="E315" i="1" a="1"/>
  <c r="E311" i="1" a="1"/>
  <c r="F300" i="1" a="1"/>
  <c r="F296" i="1" a="1"/>
  <c r="D293" i="1" a="1"/>
  <c r="E278" i="1" a="1"/>
  <c r="E264" i="1" a="1"/>
  <c r="F260" i="1" a="1"/>
  <c r="E257" i="1" a="1"/>
  <c r="D254" i="1" a="1"/>
  <c r="E250" i="1" a="1"/>
  <c r="D233" i="1" a="1"/>
  <c r="F229" i="1" a="1"/>
  <c r="F222" i="1" a="1"/>
  <c r="F215" i="1" a="1"/>
  <c r="E198" i="1" a="1"/>
  <c r="D195" i="1" a="1"/>
  <c r="E188" i="1" a="1"/>
  <c r="D182" i="1" a="1"/>
  <c r="E172" i="1" a="1"/>
  <c r="E169" i="1" a="1"/>
  <c r="E166" i="1" a="1"/>
  <c r="E163" i="1" a="1"/>
  <c r="E160" i="1" a="1"/>
  <c r="E157" i="1" a="1"/>
  <c r="E154" i="1" a="1"/>
  <c r="E151" i="1" a="1"/>
  <c r="D130" i="1" a="1"/>
  <c r="F105" i="1" a="1"/>
  <c r="F102" i="1" a="1"/>
  <c r="E501" i="1" a="1"/>
  <c r="E491" i="1" a="1"/>
  <c r="D486" i="1" a="1"/>
  <c r="D476" i="1" a="1"/>
  <c r="E448" i="1" a="1"/>
  <c r="E434" i="1" a="1"/>
  <c r="E430" i="1" a="1"/>
  <c r="F422" i="1" a="1"/>
  <c r="F402" i="1" a="1"/>
  <c r="F394" i="1" a="1"/>
  <c r="F386" i="1" a="1"/>
  <c r="F370" i="1" a="1"/>
  <c r="F354" i="1" a="1"/>
  <c r="F346" i="1" a="1"/>
  <c r="F342" i="1" a="1"/>
  <c r="F338" i="1" a="1"/>
  <c r="D335" i="1" a="1"/>
  <c r="D323" i="1" a="1"/>
  <c r="D319" i="1" a="1"/>
  <c r="D315" i="1" a="1"/>
  <c r="F307" i="1" a="1"/>
  <c r="D304" i="1" a="1"/>
  <c r="E300" i="1" a="1"/>
  <c r="E296" i="1" a="1"/>
  <c r="E289" i="1" a="1"/>
  <c r="E285" i="1" a="1"/>
  <c r="F281" i="1" a="1"/>
  <c r="D271" i="1" a="1"/>
  <c r="F246" i="1" a="1"/>
  <c r="E243" i="1" a="1"/>
  <c r="D226" i="1" a="1"/>
  <c r="D219" i="1" a="1"/>
  <c r="D212" i="1" a="1"/>
  <c r="F208" i="1" a="1"/>
  <c r="F201" i="1" a="1"/>
  <c r="F191" i="1" a="1"/>
  <c r="D185" i="1" a="1"/>
  <c r="F178" i="1" a="1"/>
  <c r="E175" i="1" a="1"/>
  <c r="D151" i="1" a="1"/>
  <c r="D148" i="1" a="1"/>
  <c r="D145" i="1" a="1"/>
  <c r="D142" i="1" a="1"/>
  <c r="D139" i="1" a="1"/>
  <c r="D136" i="1" a="1"/>
  <c r="F129" i="1" a="1"/>
  <c r="E500" i="1" a="1"/>
  <c r="F495" i="1" a="1"/>
  <c r="D491" i="1" a="1"/>
  <c r="D481" i="1" a="1"/>
  <c r="E466" i="1" a="1"/>
  <c r="D457" i="1" a="1"/>
  <c r="F452" i="1" a="1"/>
  <c r="E447" i="1" a="1"/>
  <c r="E443" i="1" a="1"/>
  <c r="F438" i="1" a="1"/>
  <c r="E422" i="1" a="1"/>
  <c r="D418" i="1" a="1"/>
  <c r="E414" i="1" a="1"/>
  <c r="E410" i="1" a="1"/>
  <c r="E406" i="1" a="1"/>
  <c r="D402" i="1" a="1"/>
  <c r="E398" i="1" a="1"/>
  <c r="E394" i="1" a="1"/>
  <c r="E390" i="1" a="1"/>
  <c r="E378" i="1" a="1"/>
  <c r="E366" i="1" a="1"/>
  <c r="E362" i="1" a="1"/>
  <c r="F358" i="1" a="1"/>
  <c r="E350" i="1" a="1"/>
  <c r="E330" i="1" a="1"/>
  <c r="F326" i="1" a="1"/>
  <c r="F314" i="1" a="1"/>
  <c r="D311" i="1" a="1"/>
  <c r="F292" i="1" a="1"/>
  <c r="D289" i="1" a="1"/>
  <c r="D285" i="1" a="1"/>
  <c r="D278" i="1" a="1"/>
  <c r="E267" i="1" a="1"/>
  <c r="F263" i="1" a="1"/>
  <c r="E260" i="1" a="1"/>
  <c r="D257" i="1" a="1"/>
  <c r="F253" i="1" a="1"/>
  <c r="D236" i="1" a="1"/>
  <c r="F232" i="1" a="1"/>
  <c r="F225" i="1" a="1"/>
  <c r="E222" i="1" a="1"/>
  <c r="E201" i="1" a="1"/>
  <c r="D198" i="1" a="1"/>
  <c r="F194" i="1" a="1"/>
  <c r="E191" i="1" a="1"/>
  <c r="D188" i="1" a="1"/>
  <c r="F181" i="1" a="1"/>
  <c r="E178" i="1" a="1"/>
  <c r="D175" i="1" a="1"/>
  <c r="D172" i="1" a="1"/>
  <c r="D169" i="1" a="1"/>
  <c r="D166" i="1" a="1"/>
  <c r="D163" i="1" a="1"/>
  <c r="D160" i="1" a="1"/>
  <c r="D157" i="1" a="1"/>
  <c r="D154" i="1" a="1"/>
  <c r="F135" i="1" a="1"/>
  <c r="F132" i="1" a="1"/>
  <c r="D479" i="1" a="1"/>
  <c r="F474" i="1" a="1"/>
  <c r="D433" i="1" a="1"/>
  <c r="D429" i="1" a="1"/>
  <c r="F424" i="1" a="1"/>
  <c r="D413" i="1" a="1"/>
  <c r="D397" i="1" a="1"/>
  <c r="E493" i="1" a="1"/>
  <c r="F487" i="1" a="1"/>
  <c r="F468" i="1" a="1"/>
  <c r="F461" i="1" a="1"/>
  <c r="F455" i="1" a="1"/>
  <c r="F449" i="1" a="1"/>
  <c r="D426" i="1" a="1"/>
  <c r="F420" i="1" a="1"/>
  <c r="D410" i="1" a="1"/>
  <c r="F404" i="1" a="1"/>
  <c r="F384" i="1" a="1"/>
  <c r="D365" i="1" a="1"/>
  <c r="D360" i="1" a="1"/>
  <c r="F355" i="1" a="1"/>
  <c r="D350" i="1" a="1"/>
  <c r="E302" i="1" a="1"/>
  <c r="D298" i="1" a="1"/>
  <c r="E293" i="1" a="1"/>
  <c r="E288" i="1" a="1"/>
  <c r="F279" i="1" a="1"/>
  <c r="E275" i="1" a="1"/>
  <c r="F270" i="1" a="1"/>
  <c r="E266" i="1" a="1"/>
  <c r="E249" i="1" a="1"/>
  <c r="D237" i="1" a="1"/>
  <c r="E232" i="1" a="1"/>
  <c r="D220" i="1" a="1"/>
  <c r="D215" i="1" a="1"/>
  <c r="F198" i="1" a="1"/>
  <c r="D194" i="1" a="1"/>
  <c r="E186" i="1" a="1"/>
  <c r="E182" i="1" a="1"/>
  <c r="D178" i="1" a="1"/>
  <c r="F170" i="1" a="1"/>
  <c r="E159" i="1" a="1"/>
  <c r="D152" i="1" a="1"/>
  <c r="E148" i="1" a="1"/>
  <c r="F140" i="1" a="1"/>
  <c r="D137" i="1" a="1"/>
  <c r="D119" i="1" a="1"/>
  <c r="E112" i="1" a="1"/>
  <c r="D106" i="1" a="1"/>
  <c r="E87" i="1" a="1"/>
  <c r="D63" i="1" a="1"/>
  <c r="D60" i="1" a="1"/>
  <c r="D57" i="1" a="1"/>
  <c r="D54" i="1" a="1"/>
  <c r="D51" i="1" a="1"/>
  <c r="D48" i="1" a="1"/>
  <c r="D45" i="1" a="1"/>
  <c r="F41" i="1" a="1"/>
  <c r="F38" i="1" a="1"/>
  <c r="F35" i="1" a="1"/>
  <c r="F32" i="1" a="1"/>
  <c r="F29" i="1" a="1"/>
  <c r="F26" i="1" a="1"/>
  <c r="F23" i="1" a="1"/>
  <c r="F20" i="1" a="1"/>
  <c r="B421" i="1" a="1"/>
  <c r="B412" i="1" a="1"/>
  <c r="B403" i="1" a="1"/>
  <c r="B386" i="1" a="1"/>
  <c r="B369" i="1" a="1"/>
  <c r="B343" i="1" a="1"/>
  <c r="B326" i="1" a="1"/>
  <c r="B309" i="1" a="1"/>
  <c r="B292" i="1" a="1"/>
  <c r="B275" i="1" a="1"/>
  <c r="B258" i="1" a="1"/>
  <c r="B241" i="1" a="1"/>
  <c r="B215" i="1" a="1"/>
  <c r="B198" i="1" a="1"/>
  <c r="B181" i="1" a="1"/>
  <c r="B164" i="1" a="1"/>
  <c r="B147" i="1" a="1"/>
  <c r="B130" i="1" a="1"/>
  <c r="B113" i="1" a="1"/>
  <c r="B87" i="1" a="1"/>
  <c r="B79" i="1" a="1"/>
  <c r="B71" i="1" a="1"/>
  <c r="B63" i="1" a="1"/>
  <c r="B55" i="1" a="1"/>
  <c r="B47" i="1" a="1"/>
  <c r="B39" i="1" a="1"/>
  <c r="B31" i="1" a="1"/>
  <c r="B23" i="1" a="1"/>
  <c r="B15" i="1" a="1"/>
  <c r="B7" i="1" a="1"/>
  <c r="D500" i="1" a="1"/>
  <c r="D493" i="1" a="1"/>
  <c r="E487" i="1" a="1"/>
  <c r="E474" i="1" a="1"/>
  <c r="E468" i="1" a="1"/>
  <c r="E455" i="1" a="1"/>
  <c r="F442" i="1" a="1"/>
  <c r="E431" i="1" a="1"/>
  <c r="F393" i="1" a="1"/>
  <c r="D389" i="1" a="1"/>
  <c r="E384" i="1" a="1"/>
  <c r="E374" i="1" a="1"/>
  <c r="E369" i="1" a="1"/>
  <c r="F364" i="1" a="1"/>
  <c r="D498" i="1" a="1"/>
  <c r="E484" i="1" a="1"/>
  <c r="E478" i="1" a="1"/>
  <c r="F465" i="1" a="1"/>
  <c r="E459" i="1" a="1"/>
  <c r="F446" i="1" a="1"/>
  <c r="E440" i="1" a="1"/>
  <c r="E435" i="1" a="1"/>
  <c r="D419" i="1" a="1"/>
  <c r="D403" i="1" a="1"/>
  <c r="E397" i="1" a="1"/>
  <c r="F387" i="1" a="1"/>
  <c r="D382" i="1" a="1"/>
  <c r="D363" i="1" a="1"/>
  <c r="F357" i="1" a="1"/>
  <c r="D353" i="1" a="1"/>
  <c r="E309" i="1" a="1"/>
  <c r="D305" i="1" a="1"/>
  <c r="F295" i="1" a="1"/>
  <c r="D291" i="1" a="1"/>
  <c r="E282" i="1" a="1"/>
  <c r="D269" i="1" a="1"/>
  <c r="D265" i="1" a="1"/>
  <c r="D252" i="1" a="1"/>
  <c r="E492" i="1" a="1"/>
  <c r="D483" i="1" a="1"/>
  <c r="F475" i="1" a="1"/>
  <c r="D460" i="1" a="1"/>
  <c r="E445" i="1" a="1"/>
  <c r="F430" i="1" a="1"/>
  <c r="D424" i="1" a="1"/>
  <c r="E404" i="1" a="1"/>
  <c r="D398" i="1" a="1"/>
  <c r="F385" i="1" a="1"/>
  <c r="E380" i="1" a="1"/>
  <c r="F367" i="1" a="1"/>
  <c r="E333" i="1" a="1"/>
  <c r="D312" i="1" a="1"/>
  <c r="E301" i="1" a="1"/>
  <c r="F290" i="1" a="1"/>
  <c r="E280" i="1" a="1"/>
  <c r="F265" i="1" a="1"/>
  <c r="D261" i="1" a="1"/>
  <c r="F241" i="1" a="1"/>
  <c r="D228" i="1" a="1"/>
  <c r="E214" i="1" a="1"/>
  <c r="F205" i="1" a="1"/>
  <c r="F200" i="1" a="1"/>
  <c r="E179" i="1" a="1"/>
  <c r="F174" i="1" a="1"/>
  <c r="D171" i="1" a="1"/>
  <c r="E167" i="1" a="1"/>
  <c r="F162" i="1" a="1"/>
  <c r="D155" i="1" a="1"/>
  <c r="F150" i="1" a="1"/>
  <c r="D143" i="1" a="1"/>
  <c r="E139" i="1" a="1"/>
  <c r="E123" i="1" a="1"/>
  <c r="F112" i="1" a="1"/>
  <c r="E109" i="1" a="1"/>
  <c r="D99" i="1" a="1"/>
  <c r="F95" i="1" a="1"/>
  <c r="E92" i="1" a="1"/>
  <c r="D86" i="1" a="1"/>
  <c r="F79" i="1" a="1"/>
  <c r="E76" i="1" a="1"/>
  <c r="D73" i="1" a="1"/>
  <c r="F66" i="1" a="1"/>
  <c r="F53" i="1" a="1"/>
  <c r="E50" i="1" a="1"/>
  <c r="D47" i="1" a="1"/>
  <c r="F40" i="1" a="1"/>
  <c r="E34" i="1" a="1"/>
  <c r="D31" i="1" a="1"/>
  <c r="E21" i="1" a="1"/>
  <c r="F11" i="1" a="1"/>
  <c r="E8" i="1" a="1"/>
  <c r="B501" i="1" a="1"/>
  <c r="B482" i="1" a="1"/>
  <c r="B463" i="1" a="1"/>
  <c r="B453" i="1" a="1"/>
  <c r="B424" i="1" a="1"/>
  <c r="B377" i="1" a="1"/>
  <c r="B295" i="1" a="1"/>
  <c r="B286" i="1" a="1"/>
  <c r="B277" i="1" a="1"/>
  <c r="B268" i="1" a="1"/>
  <c r="B259" i="1" a="1"/>
  <c r="B250" i="1" a="1"/>
  <c r="B231" i="1" a="1"/>
  <c r="B222" i="1" a="1"/>
  <c r="B213" i="1" a="1"/>
  <c r="B204" i="1" a="1"/>
  <c r="B195" i="1" a="1"/>
  <c r="B186" i="1" a="1"/>
  <c r="B177" i="1" a="1"/>
  <c r="B77" i="1" a="1"/>
  <c r="B60" i="1" a="1"/>
  <c r="B43" i="1" a="1"/>
  <c r="B26" i="1" a="1"/>
  <c r="B9" i="1" a="1"/>
  <c r="F499" i="1" a="1"/>
  <c r="D492" i="1" a="1"/>
  <c r="D452" i="1" a="1"/>
  <c r="D445" i="1" a="1"/>
  <c r="E437" i="1" a="1"/>
  <c r="D430" i="1" a="1"/>
  <c r="F423" i="1" a="1"/>
  <c r="E417" i="1" a="1"/>
  <c r="E411" i="1" a="1"/>
  <c r="F397" i="1" a="1"/>
  <c r="F391" i="1" a="1"/>
  <c r="D379" i="1" a="1"/>
  <c r="E361" i="1" a="1"/>
  <c r="D356" i="1" a="1"/>
  <c r="F344" i="1" a="1"/>
  <c r="E339" i="1" a="1"/>
  <c r="D333" i="1" a="1"/>
  <c r="D322" i="1" a="1"/>
  <c r="F316" i="1" a="1"/>
  <c r="D306" i="1" a="1"/>
  <c r="E295" i="1" a="1"/>
  <c r="D280" i="1" a="1"/>
  <c r="D260" i="1" a="1"/>
  <c r="D251" i="1" a="1"/>
  <c r="D246" i="1" a="1"/>
  <c r="F227" i="1" a="1"/>
  <c r="F204" i="1" a="1"/>
  <c r="D192" i="1" a="1"/>
  <c r="E183" i="1" a="1"/>
  <c r="F166" i="1" a="1"/>
  <c r="F158" i="1" a="1"/>
  <c r="F146" i="1" a="1"/>
  <c r="F134" i="1" a="1"/>
  <c r="D127" i="1" a="1"/>
  <c r="D109" i="1" a="1"/>
  <c r="E105" i="1" a="1"/>
  <c r="F98" i="1" a="1"/>
  <c r="D89" i="1" a="1"/>
  <c r="E63" i="1" a="1"/>
  <c r="F56" i="1" a="1"/>
  <c r="D18" i="1" a="1"/>
  <c r="E11" i="1" a="1"/>
  <c r="B472" i="1" a="1"/>
  <c r="B433" i="1" a="1"/>
  <c r="B414" i="1" a="1"/>
  <c r="B404" i="1" a="1"/>
  <c r="B395" i="1" a="1"/>
  <c r="B367" i="1" a="1"/>
  <c r="B358" i="1" a="1"/>
  <c r="B340" i="1" a="1"/>
  <c r="B331" i="1" a="1"/>
  <c r="B322" i="1" a="1"/>
  <c r="B167" i="1" a="1"/>
  <c r="B149" i="1" a="1"/>
  <c r="B103" i="1" a="1"/>
  <c r="B94" i="1" a="1"/>
  <c r="B85" i="1" a="1"/>
  <c r="B68" i="1" a="1"/>
  <c r="B51" i="1" a="1"/>
  <c r="B34" i="1" a="1"/>
  <c r="B17" i="1" a="1"/>
  <c r="F372" i="1" a="1"/>
  <c r="D361" i="1" a="1"/>
  <c r="E344" i="1" a="1"/>
  <c r="E327" i="1" a="1"/>
  <c r="F310" i="1" a="1"/>
  <c r="D275" i="1" a="1"/>
  <c r="F231" i="1" a="1"/>
  <c r="E204" i="1" a="1"/>
  <c r="D183" i="1" a="1"/>
  <c r="D179" i="1" a="1"/>
  <c r="E174" i="1" a="1"/>
  <c r="E162" i="1" a="1"/>
  <c r="E158" i="1" a="1"/>
  <c r="F154" i="1" a="1"/>
  <c r="E138" i="1" a="1"/>
  <c r="D123" i="1" a="1"/>
  <c r="D92" i="1" a="1"/>
  <c r="F59" i="1" a="1"/>
  <c r="D50" i="1" a="1"/>
  <c r="E40" i="1" a="1"/>
  <c r="D34" i="1" a="1"/>
  <c r="E27" i="1" a="1"/>
  <c r="E14" i="1" a="1"/>
  <c r="D8" i="1" a="1"/>
  <c r="B500" i="1" a="1"/>
  <c r="B462" i="1" a="1"/>
  <c r="B452" i="1" a="1"/>
  <c r="B442" i="1" a="1"/>
  <c r="B413" i="1" a="1"/>
  <c r="B303" i="1" a="1"/>
  <c r="B294" i="1" a="1"/>
  <c r="B276" i="1" a="1"/>
  <c r="B267" i="1" a="1"/>
  <c r="B239" i="1" a="1"/>
  <c r="B221" i="1" a="1"/>
  <c r="B203" i="1" a="1"/>
  <c r="B194" i="1" a="1"/>
  <c r="B76" i="1" a="1"/>
  <c r="B59" i="1" a="1"/>
  <c r="B42" i="1" a="1"/>
  <c r="F349" i="1" a="1"/>
  <c r="E255" i="1" a="1"/>
  <c r="E223" i="1" a="1"/>
  <c r="F209" i="1" a="1"/>
  <c r="D196" i="1" a="1"/>
  <c r="E187" i="1" a="1"/>
  <c r="D131" i="1" a="1"/>
  <c r="F119" i="1" a="1"/>
  <c r="D116" i="1" a="1"/>
  <c r="D102" i="1" a="1"/>
  <c r="F82" i="1" a="1"/>
  <c r="F69" i="1" a="1"/>
  <c r="F43" i="1" a="1"/>
  <c r="E37" i="1" a="1"/>
  <c r="E24" i="1" a="1"/>
  <c r="F14" i="1" a="1"/>
  <c r="B491" i="1" a="1"/>
  <c r="B443" i="1" a="1"/>
  <c r="B349" i="1" a="1"/>
  <c r="B313" i="1" a="1"/>
  <c r="B249" i="1" a="1"/>
  <c r="B158" i="1" a="1"/>
  <c r="B140" i="1" a="1"/>
  <c r="B131" i="1" a="1"/>
  <c r="B122" i="1" a="1"/>
  <c r="D385" i="1" a="1"/>
  <c r="F305" i="1" a="1"/>
  <c r="F284" i="1" a="1"/>
  <c r="F269" i="1" a="1"/>
  <c r="F245" i="1" a="1"/>
  <c r="E241" i="1" a="1"/>
  <c r="E227" i="1" a="1"/>
  <c r="D218" i="1" a="1"/>
  <c r="D191" i="1" a="1"/>
  <c r="E150" i="1" a="1"/>
  <c r="F126" i="1" a="1"/>
  <c r="F115" i="1" a="1"/>
  <c r="E95" i="1" a="1"/>
  <c r="F85" i="1" a="1"/>
  <c r="E79" i="1" a="1"/>
  <c r="F72" i="1" a="1"/>
  <c r="E66" i="1" a="1"/>
  <c r="B285" i="1" a="1"/>
  <c r="B212" i="1" a="1"/>
  <c r="B185" i="1" a="1"/>
  <c r="B121" i="1" a="1"/>
  <c r="B25" i="1" a="1"/>
  <c r="B8" i="1" a="1"/>
  <c r="D499" i="1" a="1"/>
  <c r="F482" i="1" a="1"/>
  <c r="E475" i="1" a="1"/>
  <c r="F459" i="1" a="1"/>
  <c r="E436" i="1" a="1"/>
  <c r="F429" i="1" a="1"/>
  <c r="D417" i="1" a="1"/>
  <c r="D404" i="1" a="1"/>
  <c r="F396" i="1" a="1"/>
  <c r="E391" i="1" a="1"/>
  <c r="E367" i="1" a="1"/>
  <c r="E338" i="1" a="1"/>
  <c r="D301" i="1" a="1"/>
  <c r="D214" i="1" a="1"/>
  <c r="F142" i="1" a="1"/>
  <c r="F108" i="1" a="1"/>
  <c r="F46" i="1" a="1"/>
  <c r="F30" i="1" a="1"/>
  <c r="D21" i="1" a="1"/>
  <c r="F17" i="1" a="1"/>
  <c r="F4" i="1" a="1"/>
  <c r="B481" i="1" a="1"/>
  <c r="B423" i="1" a="1"/>
  <c r="B394" i="1" a="1"/>
  <c r="B385" i="1" a="1"/>
  <c r="B230" i="1" a="1"/>
  <c r="F498" i="1" a="1"/>
  <c r="F489" i="1" a="1"/>
  <c r="E482" i="1" a="1"/>
  <c r="D475" i="1" a="1"/>
  <c r="D459" i="1" a="1"/>
  <c r="F451" i="1" a="1"/>
  <c r="D444" i="1" a="1"/>
  <c r="E429" i="1" a="1"/>
  <c r="E423" i="1" a="1"/>
  <c r="E416" i="1" a="1"/>
  <c r="D391" i="1" a="1"/>
  <c r="E372" i="1" a="1"/>
  <c r="E349" i="1" a="1"/>
  <c r="D338" i="1" a="1"/>
  <c r="F332" i="1" a="1"/>
  <c r="D316" i="1" a="1"/>
  <c r="F299" i="1" a="1"/>
  <c r="D295" i="1" a="1"/>
  <c r="D290" i="1" a="1"/>
  <c r="D274" i="1" a="1"/>
  <c r="F264" i="1" a="1"/>
  <c r="F259" i="1" a="1"/>
  <c r="D255" i="1" a="1"/>
  <c r="F249" i="1" a="1"/>
  <c r="D223" i="1" a="1"/>
  <c r="F195" i="1" a="1"/>
  <c r="F182" i="1" a="1"/>
  <c r="D482" i="1" a="1"/>
  <c r="D466" i="1" a="1"/>
  <c r="E450" i="1" a="1"/>
  <c r="D423" i="1" a="1"/>
  <c r="E409" i="1" a="1"/>
  <c r="E403" i="1" a="1"/>
  <c r="E396" i="1" a="1"/>
  <c r="D384" i="1" a="1"/>
  <c r="D378" i="1" a="1"/>
  <c r="D366" i="1" a="1"/>
  <c r="F360" i="1" a="1"/>
  <c r="E354" i="1" a="1"/>
  <c r="F343" i="1" a="1"/>
  <c r="E332" i="1" a="1"/>
  <c r="D321" i="1" a="1"/>
  <c r="E310" i="1" a="1"/>
  <c r="E305" i="1" a="1"/>
  <c r="E284" i="1" a="1"/>
  <c r="D279" i="1" a="1"/>
  <c r="F254" i="1" a="1"/>
  <c r="D245" i="1" a="1"/>
  <c r="F240" i="1" a="1"/>
  <c r="F235" i="1" a="1"/>
  <c r="E231" i="1" a="1"/>
  <c r="D227" i="1" a="1"/>
  <c r="D222" i="1" a="1"/>
  <c r="F217" i="1" a="1"/>
  <c r="D209" i="1" a="1"/>
  <c r="D204" i="1" a="1"/>
  <c r="F199" i="1" a="1"/>
  <c r="E195" i="1" a="1"/>
  <c r="F190" i="1" a="1"/>
  <c r="F186" i="1" a="1"/>
  <c r="F177" i="1" a="1"/>
  <c r="F165" i="1" a="1"/>
  <c r="D162" i="1" a="1"/>
  <c r="D158" i="1" a="1"/>
  <c r="E489" i="1" a="1"/>
  <c r="D473" i="1" a="1"/>
  <c r="F435" i="1" a="1"/>
  <c r="F428" i="1" a="1"/>
  <c r="D416" i="1" a="1"/>
  <c r="F408" i="1" a="1"/>
  <c r="D390" i="1" a="1"/>
  <c r="F377" i="1" a="1"/>
  <c r="D372" i="1" a="1"/>
  <c r="F365" i="1" a="1"/>
  <c r="F359" i="1" a="1"/>
  <c r="D354" i="1" a="1"/>
  <c r="E343" i="1" a="1"/>
  <c r="E337" i="1" a="1"/>
  <c r="E326" i="1" a="1"/>
  <c r="F320" i="1" a="1"/>
  <c r="E299" i="1" a="1"/>
  <c r="F294" i="1" a="1"/>
  <c r="F289" i="1" a="1"/>
  <c r="F273" i="1" a="1"/>
  <c r="D259" i="1" a="1"/>
  <c r="F244" i="1" a="1"/>
  <c r="D213" i="1" a="1"/>
  <c r="E208" i="1" a="1"/>
  <c r="F173" i="1" a="1"/>
  <c r="F169" i="1" a="1"/>
  <c r="F161" i="1" a="1"/>
  <c r="F149" i="1" a="1"/>
  <c r="D146" i="1" a="1"/>
  <c r="F141" i="1" a="1"/>
  <c r="F137" i="1" a="1"/>
  <c r="D134" i="1" a="1"/>
  <c r="E130" i="1" a="1"/>
  <c r="D126" i="1" a="1"/>
  <c r="E122" i="1" a="1"/>
  <c r="D115" i="1" a="1"/>
  <c r="D108" i="1" a="1"/>
  <c r="F104" i="1" a="1"/>
  <c r="D98" i="1" a="1"/>
  <c r="F94" i="1" a="1"/>
  <c r="E88" i="1" a="1"/>
  <c r="D82" i="1" a="1"/>
  <c r="E75" i="1" a="1"/>
  <c r="D72" i="1" a="1"/>
  <c r="E62" i="1" a="1"/>
  <c r="F52" i="1" a="1"/>
  <c r="E49" i="1" a="1"/>
  <c r="D43" i="1" a="1"/>
  <c r="F36" i="1" a="1"/>
  <c r="D30" i="1" a="1"/>
  <c r="D17" i="1" a="1"/>
  <c r="E7" i="1" a="1"/>
  <c r="D4" i="1" a="1"/>
  <c r="B489" i="1" a="1"/>
  <c r="B470" i="1" a="1"/>
  <c r="B460" i="1" a="1"/>
  <c r="B450" i="1" a="1"/>
  <c r="B431" i="1" a="1"/>
  <c r="B411" i="1" a="1"/>
  <c r="B383" i="1" a="1"/>
  <c r="B374" i="1" a="1"/>
  <c r="B365" i="1" a="1"/>
  <c r="B356" i="1" a="1"/>
  <c r="B347" i="1" a="1"/>
  <c r="B338" i="1" a="1"/>
  <c r="B329" i="1" a="1"/>
  <c r="B283" i="1" a="1"/>
  <c r="B274" i="1" a="1"/>
  <c r="B265" i="1" a="1"/>
  <c r="B183" i="1" a="1"/>
  <c r="B174" i="1" a="1"/>
  <c r="B165" i="1" a="1"/>
  <c r="B156" i="1" a="1"/>
  <c r="B119" i="1" a="1"/>
  <c r="B110" i="1" a="1"/>
  <c r="B101" i="1" a="1"/>
  <c r="B92" i="1" a="1"/>
  <c r="B83" i="1" a="1"/>
  <c r="B66" i="1" a="1"/>
  <c r="B49" i="1" a="1"/>
  <c r="B32" i="1" a="1"/>
  <c r="B6" i="1" a="1"/>
  <c r="D33" i="1" a="1"/>
  <c r="E23" i="1" a="1"/>
  <c r="D20" i="1" a="1"/>
  <c r="F13" i="1" a="1"/>
  <c r="E10" i="1" a="1"/>
  <c r="D7" i="1" a="1"/>
  <c r="B498" i="1" a="1"/>
  <c r="B469" i="1" a="1"/>
  <c r="B440" i="1" a="1"/>
  <c r="B430" i="1" a="1"/>
  <c r="B420" i="1" a="1"/>
  <c r="D497" i="1" a="1"/>
  <c r="F481" i="1" a="1"/>
  <c r="D465" i="1" a="1"/>
  <c r="E458" i="1" a="1"/>
  <c r="D450" i="1" a="1"/>
  <c r="D442" i="1" a="1"/>
  <c r="D428" i="1" a="1"/>
  <c r="E421" i="1" a="1"/>
  <c r="D415" i="1" a="1"/>
  <c r="E408" i="1" a="1"/>
  <c r="F401" i="1" a="1"/>
  <c r="F395" i="1" a="1"/>
  <c r="F389" i="1" a="1"/>
  <c r="F383" i="1" a="1"/>
  <c r="E377" i="1" a="1"/>
  <c r="E365" i="1" a="1"/>
  <c r="E348" i="1" a="1"/>
  <c r="E342" i="1" a="1"/>
  <c r="D337" i="1" a="1"/>
  <c r="D332" i="1" a="1"/>
  <c r="D326" i="1" a="1"/>
  <c r="E320" i="1" a="1"/>
  <c r="F309" i="1" a="1"/>
  <c r="F304" i="1" a="1"/>
  <c r="D299" i="1" a="1"/>
  <c r="F288" i="1" a="1"/>
  <c r="F283" i="1" a="1"/>
  <c r="F278" i="1" a="1"/>
  <c r="F268" i="1" a="1"/>
  <c r="E263" i="1" a="1"/>
  <c r="E254" i="1" a="1"/>
  <c r="D249" i="1" a="1"/>
  <c r="E240" i="1" a="1"/>
  <c r="E235" i="1" a="1"/>
  <c r="D231" i="1" a="1"/>
  <c r="F221" i="1" a="1"/>
  <c r="E217" i="1" a="1"/>
  <c r="F203" i="1" a="1"/>
  <c r="E190" i="1" a="1"/>
  <c r="E177" i="1" a="1"/>
  <c r="E165" i="1" a="1"/>
  <c r="F157" i="1" a="1"/>
  <c r="E153" i="1" a="1"/>
  <c r="F145" i="1" a="1"/>
  <c r="E141" i="1" a="1"/>
  <c r="E129" i="1" a="1"/>
  <c r="F125" i="1" a="1"/>
  <c r="E118" i="1" a="1"/>
  <c r="F114" i="1" a="1"/>
  <c r="E111" i="1" a="1"/>
  <c r="E104" i="1" a="1"/>
  <c r="D101" i="1" a="1"/>
  <c r="F97" i="1" a="1"/>
  <c r="E91" i="1" a="1"/>
  <c r="D85" i="1" a="1"/>
  <c r="E78" i="1" a="1"/>
  <c r="D75" i="1" a="1"/>
  <c r="F68" i="1" a="1"/>
  <c r="E65" i="1" a="1"/>
  <c r="F55" i="1" a="1"/>
  <c r="E52" i="1" a="1"/>
  <c r="D46" i="1" a="1"/>
  <c r="F39" i="1" a="1"/>
  <c r="E36" i="1" a="1"/>
  <c r="B479" i="1" a="1"/>
  <c r="B459" i="1" a="1"/>
  <c r="B401" i="1" a="1"/>
  <c r="F492" i="1" a="1"/>
  <c r="E461" i="1" a="1"/>
  <c r="D446" i="1" a="1"/>
  <c r="D432" i="1" a="1"/>
  <c r="E424" i="1" a="1"/>
  <c r="E392" i="1" a="1"/>
  <c r="D386" i="1" a="1"/>
  <c r="F380" i="1" a="1"/>
  <c r="D374" i="1" a="1"/>
  <c r="F368" i="1" a="1"/>
  <c r="D362" i="1" a="1"/>
  <c r="D334" i="1" a="1"/>
  <c r="D329" i="1" a="1"/>
  <c r="E317" i="1" a="1"/>
  <c r="E312" i="1" a="1"/>
  <c r="D307" i="1" a="1"/>
  <c r="F301" i="1" a="1"/>
  <c r="D297" i="1" a="1"/>
  <c r="D281" i="1" a="1"/>
  <c r="D266" i="1" a="1"/>
  <c r="E233" i="1" a="1"/>
  <c r="F219" i="1" a="1"/>
  <c r="F214" i="1" a="1"/>
  <c r="D206" i="1" a="1"/>
  <c r="D201" i="1" a="1"/>
  <c r="F196" i="1" a="1"/>
  <c r="F179" i="1" a="1"/>
  <c r="E171" i="1" a="1"/>
  <c r="F167" i="1" a="1"/>
  <c r="F163" i="1" a="1"/>
  <c r="E155" i="1" a="1"/>
  <c r="F151" i="1" a="1"/>
  <c r="E147" i="1" a="1"/>
  <c r="F139" i="1" a="1"/>
  <c r="E135" i="1" a="1"/>
  <c r="D124" i="1" a="1"/>
  <c r="F116" i="1" a="1"/>
  <c r="F109" i="1" a="1"/>
  <c r="E106" i="1" a="1"/>
  <c r="E99" i="1" a="1"/>
  <c r="E86" i="1" a="1"/>
  <c r="D80" i="1" a="1"/>
  <c r="D67" i="1" a="1"/>
  <c r="F60" i="1" a="1"/>
  <c r="E57" i="1" a="1"/>
  <c r="D41" i="1" a="1"/>
  <c r="F34" i="1" a="1"/>
  <c r="D25" i="1" a="1"/>
  <c r="F21" i="1" a="1"/>
  <c r="E15" i="1" a="1"/>
  <c r="D12" i="1" a="1"/>
  <c r="F5" i="1" a="1"/>
  <c r="E2" i="1" a="1"/>
  <c r="B483" i="1" a="1"/>
  <c r="B464" i="1" a="1"/>
  <c r="B435" i="1" a="1"/>
  <c r="B425" i="1" a="1"/>
  <c r="B406" i="1" a="1"/>
  <c r="B287" i="1" a="1"/>
  <c r="B278" i="1" a="1"/>
  <c r="B269" i="1" a="1"/>
  <c r="B260" i="1" a="1"/>
  <c r="B251" i="1" a="1"/>
  <c r="B242" i="1" a="1"/>
  <c r="B233" i="1" a="1"/>
  <c r="B223" i="1" a="1"/>
  <c r="B214" i="1" a="1"/>
  <c r="B205" i="1" a="1"/>
  <c r="B196" i="1" a="1"/>
  <c r="B187" i="1" a="1"/>
  <c r="B178" i="1" a="1"/>
  <c r="B169" i="1" a="1"/>
  <c r="B78" i="1" a="1"/>
  <c r="B61" i="1" a="1"/>
  <c r="B44" i="1" a="1"/>
  <c r="B27" i="1" a="1"/>
  <c r="F479" i="1" a="1"/>
  <c r="F433" i="1" a="1"/>
  <c r="D408" i="1" a="1"/>
  <c r="F371" i="1" a="1"/>
  <c r="E359" i="1" a="1"/>
  <c r="D348" i="1" a="1"/>
  <c r="F336" i="1" a="1"/>
  <c r="E325" i="1" a="1"/>
  <c r="E304" i="1" a="1"/>
  <c r="D294" i="1" a="1"/>
  <c r="E244" i="1" a="1"/>
  <c r="E226" i="1" a="1"/>
  <c r="F207" i="1" a="1"/>
  <c r="D199" i="1" a="1"/>
  <c r="D190" i="1" a="1"/>
  <c r="D168" i="1" a="1"/>
  <c r="F160" i="1" a="1"/>
  <c r="E134" i="1" a="1"/>
  <c r="E128" i="1" a="1"/>
  <c r="D122" i="1" a="1"/>
  <c r="F110" i="1" a="1"/>
  <c r="D105" i="1" a="1"/>
  <c r="D100" i="1" a="1"/>
  <c r="E94" i="1" a="1"/>
  <c r="F89" i="1" a="1"/>
  <c r="D84" i="1" a="1"/>
  <c r="D79" i="1" a="1"/>
  <c r="E68" i="1" a="1"/>
  <c r="D64" i="1" a="1"/>
  <c r="E58" i="1" a="1"/>
  <c r="D53" i="1" a="1"/>
  <c r="E48" i="1" a="1"/>
  <c r="F42" i="1" a="1"/>
  <c r="D38" i="1" a="1"/>
  <c r="E32" i="1" a="1"/>
  <c r="E22" i="1" a="1"/>
  <c r="F16" i="1" a="1"/>
  <c r="B486" i="1" a="1"/>
  <c r="B455" i="1" a="1"/>
  <c r="B438" i="1" a="1"/>
  <c r="B391" i="1" a="1"/>
  <c r="B379" i="1" a="1"/>
  <c r="B363" i="1" a="1"/>
  <c r="F496" i="1" a="1"/>
  <c r="F464" i="1" a="1"/>
  <c r="E449" i="1" a="1"/>
  <c r="D421" i="1" a="1"/>
  <c r="F407" i="1" a="1"/>
  <c r="E395" i="1" a="1"/>
  <c r="E383" i="1" a="1"/>
  <c r="D371" i="1" a="1"/>
  <c r="E336" i="1" a="1"/>
  <c r="D314" i="1" a="1"/>
  <c r="F303" i="1" a="1"/>
  <c r="F293" i="1" a="1"/>
  <c r="E283" i="1" a="1"/>
  <c r="F272" i="1" a="1"/>
  <c r="D263" i="1" a="1"/>
  <c r="D217" i="1" a="1"/>
  <c r="E207" i="1" a="1"/>
  <c r="F189" i="1" a="1"/>
  <c r="D181" i="1" a="1"/>
  <c r="D174" i="1" a="1"/>
  <c r="D153" i="1" a="1"/>
  <c r="D147" i="1" a="1"/>
  <c r="E140" i="1" a="1"/>
  <c r="F121" i="1" a="1"/>
  <c r="E116" i="1" a="1"/>
  <c r="E89" i="1" a="1"/>
  <c r="F78" i="1" a="1"/>
  <c r="D74" i="1" a="1"/>
  <c r="F63" i="1" a="1"/>
  <c r="F37" i="1" a="1"/>
  <c r="D27" i="1" a="1"/>
  <c r="E6" i="1" a="1"/>
  <c r="B499" i="1" a="1"/>
  <c r="B484" i="1" a="1"/>
  <c r="B454" i="1" a="1"/>
  <c r="B437" i="1" a="1"/>
  <c r="B422" i="1" a="1"/>
  <c r="B407" i="1" a="1"/>
  <c r="B378" i="1" a="1"/>
  <c r="B335" i="1" a="1"/>
  <c r="B321" i="1" a="1"/>
  <c r="B308" i="1" a="1"/>
  <c r="B243" i="1" a="1"/>
  <c r="B228" i="1" a="1"/>
  <c r="B202" i="1" a="1"/>
  <c r="B189" i="1" a="1"/>
  <c r="B175" i="1" a="1"/>
  <c r="B150" i="1" a="1"/>
  <c r="B124" i="1" a="1"/>
  <c r="B109" i="1" a="1"/>
  <c r="B58" i="1" a="1"/>
  <c r="B46" i="1" a="1"/>
  <c r="B33" i="1" a="1"/>
  <c r="E433" i="1" a="1"/>
  <c r="E420" i="1" a="1"/>
  <c r="D395" i="1" a="1"/>
  <c r="F381" i="1" a="1"/>
  <c r="E370" i="1" a="1"/>
  <c r="E358" i="1" a="1"/>
  <c r="F347" i="1" a="1"/>
  <c r="D325" i="1" a="1"/>
  <c r="F313" i="1" a="1"/>
  <c r="F252" i="1" a="1"/>
  <c r="E225" i="1" a="1"/>
  <c r="F216" i="1" a="1"/>
  <c r="F478" i="1" a="1"/>
  <c r="E463" i="1" a="1"/>
  <c r="E407" i="1" a="1"/>
  <c r="F369" i="1" a="1"/>
  <c r="D358" i="1" a="1"/>
  <c r="D347" i="1" a="1"/>
  <c r="D336" i="1" a="1"/>
  <c r="E324" i="1" a="1"/>
  <c r="F282" i="1" a="1"/>
  <c r="E272" i="1" a="1"/>
  <c r="F262" i="1" a="1"/>
  <c r="F243" i="1" a="1"/>
  <c r="E234" i="1" a="1"/>
  <c r="E216" i="1" a="1"/>
  <c r="D207" i="1" a="1"/>
  <c r="F197" i="1" a="1"/>
  <c r="E189" i="1" a="1"/>
  <c r="F180" i="1" a="1"/>
  <c r="F159" i="1" a="1"/>
  <c r="D140" i="1" a="1"/>
  <c r="E133" i="1" a="1"/>
  <c r="F127" i="1" a="1"/>
  <c r="D110" i="1" a="1"/>
  <c r="D104" i="1" a="1"/>
  <c r="E73" i="1" a="1"/>
  <c r="F57" i="1" a="1"/>
  <c r="D52" i="1" a="1"/>
  <c r="E47" i="1" a="1"/>
  <c r="D16" i="1" a="1"/>
  <c r="D6" i="1" a="1"/>
  <c r="B497" i="1" a="1"/>
  <c r="B466" i="1" a="1"/>
  <c r="B436" i="1" a="1"/>
  <c r="B419" i="1" a="1"/>
  <c r="B405" i="1" a="1"/>
  <c r="B346" i="1" a="1"/>
  <c r="B319" i="1" a="1"/>
  <c r="B307" i="1" a="1"/>
  <c r="B293" i="1" a="1"/>
  <c r="B266" i="1" a="1"/>
  <c r="B227" i="1" a="1"/>
  <c r="B188" i="1" a="1"/>
  <c r="B108" i="1" a="1"/>
  <c r="B95" i="1" a="1"/>
  <c r="B70" i="1" a="1"/>
  <c r="B45" i="1" a="1"/>
  <c r="B20" i="1" a="1"/>
  <c r="D243" i="1" a="1"/>
  <c r="D447" i="1" a="1"/>
  <c r="F432" i="1" a="1"/>
  <c r="E393" i="1" a="1"/>
  <c r="E381" i="1" a="1"/>
  <c r="E346" i="1" a="1"/>
  <c r="E313" i="1" a="1"/>
  <c r="F302" i="1" a="1"/>
  <c r="D282" i="1" a="1"/>
  <c r="E252" i="1" a="1"/>
  <c r="F494" i="1" a="1"/>
  <c r="D478" i="1" a="1"/>
  <c r="D463" i="1" a="1"/>
  <c r="E432" i="1" a="1"/>
  <c r="D369" i="1" a="1"/>
  <c r="E357" i="1" a="1"/>
  <c r="E335" i="1" a="1"/>
  <c r="D324" i="1" a="1"/>
  <c r="F477" i="1" a="1"/>
  <c r="E446" i="1" a="1"/>
  <c r="E419" i="1" a="1"/>
  <c r="D406" i="1" a="1"/>
  <c r="D393" i="1" a="1"/>
  <c r="F356" i="1" a="1"/>
  <c r="F323" i="1" a="1"/>
  <c r="F271" i="1" a="1"/>
  <c r="F261" i="1" a="1"/>
  <c r="F251" i="1" a="1"/>
  <c r="E242" i="1" a="1"/>
  <c r="E224" i="1" a="1"/>
  <c r="F144" i="1" a="1"/>
  <c r="D132" i="1" a="1"/>
  <c r="E120" i="1" a="1"/>
  <c r="E108" i="1" a="1"/>
  <c r="D93" i="1" a="1"/>
  <c r="F87" i="1" a="1"/>
  <c r="E82" i="1" a="1"/>
  <c r="E77" i="1" a="1"/>
  <c r="F71" i="1" a="1"/>
  <c r="E56" i="1" a="1"/>
  <c r="E30" i="1" a="1"/>
  <c r="F9" i="1" a="1"/>
  <c r="E4" i="1" a="1"/>
  <c r="B432" i="1" a="1"/>
  <c r="B388" i="1" a="1"/>
  <c r="B372" i="1" a="1"/>
  <c r="B357" i="1" a="1"/>
  <c r="B330" i="1" a="1"/>
  <c r="B317" i="1" a="1"/>
  <c r="B305" i="1" a="1"/>
  <c r="B252" i="1" a="1"/>
  <c r="B237" i="1" a="1"/>
  <c r="B211" i="1" a="1"/>
  <c r="B159" i="1" a="1"/>
  <c r="B145" i="1" a="1"/>
  <c r="B133" i="1" a="1"/>
  <c r="B118" i="1" a="1"/>
  <c r="B80" i="1" a="1"/>
  <c r="F476" i="1" a="1"/>
  <c r="E460" i="1" a="1"/>
  <c r="F417" i="1" a="1"/>
  <c r="D405" i="1" a="1"/>
  <c r="D392" i="1" a="1"/>
  <c r="E356" i="1" a="1"/>
  <c r="D345" i="1" a="1"/>
  <c r="E322" i="1" a="1"/>
  <c r="F280" i="1" a="1"/>
  <c r="E270" i="1" a="1"/>
  <c r="E251" i="1" a="1"/>
  <c r="F223" i="1" a="1"/>
  <c r="E196" i="1" a="1"/>
  <c r="F187" i="1" a="1"/>
  <c r="F171" i="1" a="1"/>
  <c r="F164" i="1" a="1"/>
  <c r="D138" i="1" a="1"/>
  <c r="E125" i="1" a="1"/>
  <c r="D120" i="1" a="1"/>
  <c r="D114" i="1" a="1"/>
  <c r="E103" i="1" a="1"/>
  <c r="E97" i="1" a="1"/>
  <c r="F92" i="1" a="1"/>
  <c r="D87" i="1" a="1"/>
  <c r="E61" i="1" a="1"/>
  <c r="D56" i="1" a="1"/>
  <c r="E51" i="1" a="1"/>
  <c r="F45" i="1" a="1"/>
  <c r="E35" i="1" a="1"/>
  <c r="E25" i="1" a="1"/>
  <c r="F19" i="1" a="1"/>
  <c r="D15" i="1" a="1"/>
  <c r="B495" i="1" a="1"/>
  <c r="B478" i="1" a="1"/>
  <c r="B447" i="1" a="1"/>
  <c r="B387" i="1" a="1"/>
  <c r="B290" i="1" a="1"/>
  <c r="B263" i="1" a="1"/>
  <c r="B225" i="1" a="1"/>
  <c r="B210" i="1" a="1"/>
  <c r="B171" i="1" a="1"/>
  <c r="B157" i="1" a="1"/>
  <c r="B132" i="1" a="1"/>
  <c r="B106" i="1" a="1"/>
  <c r="B91" i="1" a="1"/>
  <c r="B54" i="1" a="1"/>
  <c r="B41" i="1" a="1"/>
  <c r="B29" i="1" a="1"/>
  <c r="B18" i="1" a="1"/>
  <c r="B5" i="1" a="1"/>
  <c r="F488" i="1" a="1"/>
  <c r="F427" i="1" a="1"/>
  <c r="E353" i="1" a="1"/>
  <c r="D313" i="1" a="1"/>
  <c r="F276" i="1" a="1"/>
  <c r="D258" i="1" a="1"/>
  <c r="E239" i="1" a="1"/>
  <c r="E228" i="1" a="1"/>
  <c r="E211" i="1" a="1"/>
  <c r="F184" i="1" a="1"/>
  <c r="E173" i="1" a="1"/>
  <c r="F153" i="1" a="1"/>
  <c r="E117" i="1" a="1"/>
  <c r="F93" i="1" a="1"/>
  <c r="D78" i="1" a="1"/>
  <c r="E55" i="1" a="1"/>
  <c r="F48" i="1" a="1"/>
  <c r="F25" i="1" a="1"/>
  <c r="F18" i="1" a="1"/>
  <c r="B415" i="1" a="1"/>
  <c r="B371" i="1" a="1"/>
  <c r="B334" i="1" a="1"/>
  <c r="B281" i="1" a="1"/>
  <c r="B262" i="1" a="1"/>
  <c r="B245" i="1" a="1"/>
  <c r="B209" i="1" a="1"/>
  <c r="B155" i="1" a="1"/>
  <c r="B139" i="1" a="1"/>
  <c r="B123" i="1" a="1"/>
  <c r="B102" i="1" a="1"/>
  <c r="B53" i="1" a="1"/>
  <c r="B37" i="1" a="1"/>
  <c r="B21" i="1" a="1"/>
  <c r="E488" i="1" a="1"/>
  <c r="D211" i="1" a="1"/>
  <c r="F143" i="1" a="1"/>
  <c r="F107" i="1" a="1"/>
  <c r="E93" i="1" a="1"/>
  <c r="F70" i="1" a="1"/>
  <c r="D55" i="1" a="1"/>
  <c r="D40" i="1" a="1"/>
  <c r="B393" i="1" a="1"/>
  <c r="B298" i="1" a="1"/>
  <c r="B173" i="1" a="1"/>
  <c r="D401" i="1" a="1"/>
  <c r="E17" i="1" a="1"/>
  <c r="B314" i="1" a="1"/>
  <c r="B67" i="1" a="1"/>
  <c r="B81" i="1" a="1"/>
  <c r="E60" i="1" a="1"/>
  <c r="B13" i="1" a="1"/>
  <c r="E456" i="1" a="1"/>
  <c r="E401" i="1" a="1"/>
  <c r="F331" i="1" a="1"/>
  <c r="D296" i="1" a="1"/>
  <c r="F257" i="1" a="1"/>
  <c r="D239" i="1" a="1"/>
  <c r="F224" i="1" a="1"/>
  <c r="D197" i="1" a="1"/>
  <c r="D173" i="1" a="1"/>
  <c r="F152" i="1" a="1"/>
  <c r="D135" i="1" a="1"/>
  <c r="D125" i="1" a="1"/>
  <c r="F100" i="1" a="1"/>
  <c r="F77" i="1" a="1"/>
  <c r="F62" i="1" a="1"/>
  <c r="E18" i="1" a="1"/>
  <c r="B333" i="1" a="1"/>
  <c r="B86" i="1" a="1"/>
  <c r="B52" i="1" a="1"/>
  <c r="D376" i="1" a="1"/>
  <c r="D309" i="1" a="1"/>
  <c r="E276" i="1" a="1"/>
  <c r="E210" i="1" a="1"/>
  <c r="E143" i="1" a="1"/>
  <c r="E85" i="1" a="1"/>
  <c r="E9" i="1" a="1"/>
  <c r="B390" i="1" a="1"/>
  <c r="B350" i="1" a="1"/>
  <c r="B332" i="1" a="1"/>
  <c r="B261" i="1" a="1"/>
  <c r="B244" i="1" a="1"/>
  <c r="B226" i="1" a="1"/>
  <c r="B172" i="1" a="1"/>
  <c r="B137" i="1" a="1"/>
  <c r="B50" i="1" a="1"/>
  <c r="B36" i="1" a="1"/>
  <c r="B134" i="1" a="1"/>
  <c r="B99" i="1" a="1"/>
  <c r="B64" i="1" a="1"/>
  <c r="B474" i="1" a="1"/>
  <c r="B382" i="1" a="1"/>
  <c r="B255" i="1" a="1"/>
  <c r="D441" i="1" a="1"/>
  <c r="E121" i="1" a="1"/>
  <c r="E67" i="1" a="1"/>
  <c r="D37" i="1" a="1"/>
  <c r="B493" i="1" a="1"/>
  <c r="B362" i="1" a="1"/>
  <c r="B325" i="1" a="1"/>
  <c r="B182" i="1" a="1"/>
  <c r="B62" i="1" a="1"/>
  <c r="E248" i="1" a="1"/>
  <c r="E168" i="1" a="1"/>
  <c r="D121" i="1" a="1"/>
  <c r="D90" i="1" a="1"/>
  <c r="D36" i="1" a="1"/>
  <c r="B471" i="1" a="1"/>
  <c r="D488" i="1" a="1"/>
  <c r="B114" i="1" a="1"/>
  <c r="D456" i="1" a="1"/>
  <c r="D427" i="1" a="1"/>
  <c r="F352" i="1" a="1"/>
  <c r="D288" i="1" a="1"/>
  <c r="F275" i="1" a="1"/>
  <c r="F238" i="1" a="1"/>
  <c r="D221" i="1" a="1"/>
  <c r="D210" i="1" a="1"/>
  <c r="F193" i="1" a="1"/>
  <c r="D184" i="1" a="1"/>
  <c r="E132" i="1" a="1"/>
  <c r="F124" i="1" a="1"/>
  <c r="E115" i="1" a="1"/>
  <c r="F91" i="1" a="1"/>
  <c r="D77" i="1" a="1"/>
  <c r="D70" i="1" a="1"/>
  <c r="F61" i="1" a="1"/>
  <c r="F54" i="1" a="1"/>
  <c r="E39" i="1" a="1"/>
  <c r="D32" i="1" a="1"/>
  <c r="D24" i="1" a="1"/>
  <c r="F2" i="1" a="1"/>
  <c r="B477" i="1" a="1"/>
  <c r="B410" i="1" a="1"/>
  <c r="B389" i="1" a="1"/>
  <c r="B348" i="1" a="1"/>
  <c r="B297" i="1" a="1"/>
  <c r="B207" i="1" a="1"/>
  <c r="B190" i="1" a="1"/>
  <c r="B117" i="1" a="1"/>
  <c r="B100" i="1" a="1"/>
  <c r="B65" i="1" a="1"/>
  <c r="B35" i="1" a="1"/>
  <c r="B19" i="1" a="1"/>
  <c r="F123" i="1" a="1"/>
  <c r="E114" i="1" a="1"/>
  <c r="E98" i="1" a="1"/>
  <c r="D91" i="1" a="1"/>
  <c r="F75" i="1" a="1"/>
  <c r="D61" i="1" a="1"/>
  <c r="E54" i="1" a="1"/>
  <c r="E31" i="1" a="1"/>
  <c r="F8" i="1" a="1"/>
  <c r="B409" i="1" a="1"/>
  <c r="B327" i="1" a="1"/>
  <c r="B116" i="1" a="1"/>
  <c r="B48" i="1" a="1"/>
  <c r="B219" i="1" a="1"/>
  <c r="B151" i="1" a="1"/>
  <c r="E306" i="1" a="1"/>
  <c r="D97" i="1" a="1"/>
  <c r="D14" i="1" a="1"/>
  <c r="B473" i="1" a="1"/>
  <c r="B201" i="1" a="1"/>
  <c r="B28" i="1" a="1"/>
  <c r="F388" i="1" a="1"/>
  <c r="D203" i="1" a="1"/>
  <c r="D129" i="1" a="1"/>
  <c r="D66" i="1" a="1"/>
  <c r="D29" i="1" a="1"/>
  <c r="E13" i="1" a="1"/>
  <c r="B492" i="1" a="1"/>
  <c r="B381" i="1" a="1"/>
  <c r="E486" i="1" a="1"/>
  <c r="D455" i="1" a="1"/>
  <c r="F375" i="1" a="1"/>
  <c r="E352" i="1" a="1"/>
  <c r="F329" i="1" a="1"/>
  <c r="F256" i="1" a="1"/>
  <c r="F183" i="1" a="1"/>
  <c r="D161" i="1" a="1"/>
  <c r="E142" i="1" a="1"/>
  <c r="D107" i="1" a="1"/>
  <c r="F99" i="1" a="1"/>
  <c r="E84" i="1" a="1"/>
  <c r="F76" i="1" a="1"/>
  <c r="E69" i="1" a="1"/>
  <c r="E46" i="1" a="1"/>
  <c r="F31" i="1" a="1"/>
  <c r="D9" i="1" a="1"/>
  <c r="D2" i="1" a="1"/>
  <c r="B476" i="1" a="1"/>
  <c r="B456" i="1" a="1"/>
  <c r="B429" i="1" a="1"/>
  <c r="B366" i="1" a="1"/>
  <c r="B311" i="1" a="1"/>
  <c r="B206" i="1" a="1"/>
  <c r="B170" i="1" a="1"/>
  <c r="B153" i="1" a="1"/>
  <c r="B135" i="1" a="1"/>
  <c r="B82" i="1" a="1"/>
  <c r="B16" i="1" a="1"/>
  <c r="B3" i="1" a="1"/>
  <c r="F425" i="1" a="1"/>
  <c r="F287" i="1" a="1"/>
  <c r="F255" i="1" a="1"/>
  <c r="F206" i="1" a="1"/>
  <c r="D69" i="1" a="1"/>
  <c r="B475" i="1" a="1"/>
  <c r="F472" i="1" a="1"/>
  <c r="B148" i="1" a="1"/>
  <c r="E485" i="1" a="1"/>
  <c r="D400" i="1" a="1"/>
  <c r="E238" i="1" a="1"/>
  <c r="F220" i="1" a="1"/>
  <c r="E193" i="1" a="1"/>
  <c r="E170" i="1" a="1"/>
  <c r="F131" i="1" a="1"/>
  <c r="F83" i="1" a="1"/>
  <c r="D23" i="1" a="1"/>
  <c r="B310" i="1" a="1"/>
  <c r="B289" i="1" a="1"/>
  <c r="E59" i="1" a="1"/>
  <c r="D454" i="1" a="1"/>
  <c r="E399" i="1" a="1"/>
  <c r="E375" i="1" a="1"/>
  <c r="F351" i="1" a="1"/>
  <c r="D308" i="1" a="1"/>
  <c r="E180" i="1" a="1"/>
  <c r="E149" i="1" a="1"/>
  <c r="D141" i="1" a="1"/>
  <c r="E131" i="1" a="1"/>
  <c r="F113" i="1" a="1"/>
  <c r="F106" i="1" a="1"/>
  <c r="E83" i="1" a="1"/>
  <c r="D68" i="1" a="1"/>
  <c r="E45" i="1" a="1"/>
  <c r="E38" i="1" a="1"/>
  <c r="F15" i="1" a="1"/>
  <c r="F7" i="1" a="1"/>
  <c r="B428" i="1" a="1"/>
  <c r="B408" i="1" a="1"/>
  <c r="B364" i="1" a="1"/>
  <c r="B345" i="1" a="1"/>
  <c r="B291" i="1" a="1"/>
  <c r="B273" i="1" a="1"/>
  <c r="B238" i="1" a="1"/>
  <c r="B220" i="1" a="1"/>
  <c r="B30" i="1" a="1"/>
  <c r="B14" i="1" a="1"/>
  <c r="B2" i="1" a="1"/>
  <c r="D484" i="1" a="1"/>
  <c r="E453" i="1" a="1"/>
  <c r="F373" i="1" a="1"/>
  <c r="E328" i="1" a="1"/>
  <c r="E307" i="1" a="1"/>
  <c r="E287" i="1" a="1"/>
  <c r="D268" i="1" a="1"/>
  <c r="F248" i="1" a="1"/>
  <c r="F237" i="1" a="1"/>
  <c r="E220" i="1" a="1"/>
  <c r="D193" i="1" a="1"/>
  <c r="F168" i="1" a="1"/>
  <c r="D159" i="1" a="1"/>
  <c r="F130" i="1" a="1"/>
  <c r="F122" i="1" a="1"/>
  <c r="F90" i="1" a="1"/>
  <c r="D83" i="1" a="1"/>
  <c r="F67" i="1" a="1"/>
  <c r="E29" i="1" a="1"/>
  <c r="F22" i="1" a="1"/>
  <c r="B449" i="1" a="1"/>
  <c r="B236" i="1" a="1"/>
  <c r="B115" i="1" a="1"/>
  <c r="D342" i="1" a="1"/>
  <c r="D234" i="1" a="1"/>
  <c r="D149" i="1" a="1"/>
  <c r="F74" i="1" a="1"/>
  <c r="F44" i="1" a="1"/>
  <c r="B448" i="1" a="1"/>
  <c r="B97" i="1" a="1"/>
  <c r="F286" i="1" a="1"/>
  <c r="E192" i="1" a="1"/>
  <c r="F156" i="1" a="1"/>
  <c r="D81" i="1" a="1"/>
  <c r="E44" i="1" a="1"/>
  <c r="F6" i="1" a="1"/>
  <c r="E469" i="1" a="1"/>
  <c r="E439" i="1" a="1"/>
  <c r="E412" i="1" a="1"/>
  <c r="D387" i="1" a="1"/>
  <c r="E340" i="1" a="1"/>
  <c r="D277" i="1" a="1"/>
  <c r="E246" i="1" a="1"/>
  <c r="D229" i="1" a="1"/>
  <c r="F211" i="1" a="1"/>
  <c r="E164" i="1" a="1"/>
  <c r="E145" i="1" a="1"/>
  <c r="E126" i="1" a="1"/>
  <c r="D118" i="1" a="1"/>
  <c r="E110" i="1" a="1"/>
  <c r="F86" i="1" a="1"/>
  <c r="E71" i="1" a="1"/>
  <c r="D49" i="1" a="1"/>
  <c r="E26" i="1" a="1"/>
  <c r="D19" i="1" a="1"/>
  <c r="E12" i="1" a="1"/>
  <c r="B487" i="1" a="1"/>
  <c r="B461" i="1" a="1"/>
  <c r="B441" i="1" a="1"/>
  <c r="B418" i="1" a="1"/>
  <c r="B397" i="1" a="1"/>
  <c r="B373" i="1" a="1"/>
  <c r="B318" i="1" a="1"/>
  <c r="B246" i="1" a="1"/>
  <c r="B142" i="1" a="1"/>
  <c r="B125" i="1" a="1"/>
  <c r="B107" i="1" a="1"/>
  <c r="B89" i="1" a="1"/>
  <c r="B38" i="1" a="1"/>
  <c r="B22" i="1" a="1"/>
  <c r="B10" i="1" a="1"/>
  <c r="D469" i="1" a="1"/>
  <c r="F437" i="1" a="1"/>
  <c r="F411" i="1" a="1"/>
  <c r="F339" i="1" a="1"/>
  <c r="D317" i="1" a="1"/>
  <c r="F297" i="1" a="1"/>
  <c r="E258" i="1" a="1"/>
  <c r="F228" i="1" a="1"/>
  <c r="E185" i="1" a="1"/>
  <c r="D176" i="1" a="1"/>
  <c r="D164" i="1" a="1"/>
  <c r="D144" i="1" a="1"/>
  <c r="E136" i="1" a="1"/>
  <c r="F117" i="1" a="1"/>
  <c r="E101" i="1" a="1"/>
  <c r="D94" i="1" a="1"/>
  <c r="D71" i="1" a="1"/>
  <c r="E64" i="1" a="1"/>
  <c r="E41" i="1" a="1"/>
  <c r="F33" i="1" a="1"/>
  <c r="D26" i="1" a="1"/>
  <c r="D11" i="1" a="1"/>
  <c r="E3" i="1" a="1"/>
  <c r="B439" i="1" a="1"/>
  <c r="B416" i="1" a="1"/>
  <c r="B396" i="1" a="1"/>
  <c r="B353" i="1" a="1"/>
  <c r="B316" i="1" a="1"/>
  <c r="B299" i="1" a="1"/>
  <c r="B282" i="1" a="1"/>
  <c r="B229" i="1" a="1"/>
  <c r="B193" i="1" a="1"/>
  <c r="B141" i="1" a="1"/>
  <c r="B105" i="1" a="1"/>
  <c r="B72" i="1" a="1"/>
  <c r="D10" i="1" a="1"/>
  <c r="D3" i="1" a="1"/>
  <c r="B458" i="1" a="1"/>
  <c r="B351" i="1" a="1"/>
  <c r="B315" i="1" a="1"/>
  <c r="B191" i="1" a="1"/>
  <c r="B138" i="1" a="1"/>
  <c r="B69" i="1" a="1"/>
  <c r="E427" i="1" a="1"/>
  <c r="D330" i="1" a="1"/>
  <c r="D292" i="1" a="1"/>
  <c r="E184" i="1" a="1"/>
  <c r="F172" i="1" a="1"/>
  <c r="E152" i="1" a="1"/>
  <c r="F133" i="1" a="1"/>
  <c r="D117" i="1" a="1"/>
  <c r="E100" i="1" a="1"/>
  <c r="D62" i="1" a="1"/>
  <c r="F24" i="1" a="1"/>
  <c r="B480" i="1" a="1"/>
  <c r="B457" i="1" a="1"/>
  <c r="B370" i="1" a="1"/>
  <c r="B279" i="1" a="1"/>
  <c r="B154" i="1" a="1"/>
  <c r="B84" i="1" a="1"/>
  <c r="B4" i="1" a="1"/>
  <c r="B257" i="1" a="1"/>
  <c r="B496" i="1" a="1"/>
  <c r="B166" i="1" a="1"/>
  <c r="B98" i="1" a="1"/>
  <c r="D287" i="1" a="1"/>
  <c r="E113" i="1" a="1"/>
  <c r="E81" i="1" a="1"/>
  <c r="B427" i="1" a="1"/>
  <c r="B342" i="1" a="1"/>
  <c r="B254" i="1" a="1"/>
  <c r="B129" i="1" a="1"/>
  <c r="E472" i="1" a="1"/>
  <c r="D177" i="1" a="1"/>
  <c r="F51" i="1" a="1"/>
  <c r="E471" i="1" a="1"/>
  <c r="E298" i="1" a="1"/>
  <c r="D230" i="1" a="1"/>
  <c r="D103" i="1" a="1"/>
  <c r="B444" i="1" a="1"/>
  <c r="B361" i="1" a="1"/>
  <c r="B306" i="1" a="1"/>
  <c r="E364" i="1" a="1"/>
  <c r="E176" i="1" a="1"/>
  <c r="F136" i="1" a="1"/>
  <c r="E102" i="1" a="1"/>
  <c r="E72" i="1" a="1"/>
  <c r="E42" i="1" a="1"/>
  <c r="F12" i="1" a="1"/>
  <c r="B359" i="1" a="1"/>
  <c r="B302" i="1" a="1"/>
  <c r="B75" i="1" a="1"/>
  <c r="D470" i="1" a="1"/>
  <c r="D364" i="1" a="1"/>
  <c r="E286" i="1" a="1"/>
  <c r="F96" i="1" a="1"/>
  <c r="F65" i="1" a="1"/>
  <c r="B355" i="1" a="1"/>
  <c r="B301" i="1" a="1"/>
  <c r="B247" i="1" a="1"/>
  <c r="B127" i="1" a="1"/>
  <c r="B74" i="1" a="1"/>
  <c r="B24" i="1" a="1"/>
  <c r="F469" i="1" a="1"/>
  <c r="E281" i="1" a="1"/>
  <c r="F128" i="1" a="1"/>
  <c r="E96" i="1" a="1"/>
  <c r="B426" i="1" a="1"/>
  <c r="B300" i="1" a="1"/>
  <c r="B235" i="1" a="1"/>
  <c r="B126" i="1" a="1"/>
  <c r="B73" i="1" a="1"/>
  <c r="B341" i="1" a="1"/>
  <c r="B12" i="1" a="1"/>
  <c r="B490" i="1" a="1"/>
  <c r="B488" i="1" a="1"/>
  <c r="B217" i="1" a="1"/>
  <c r="F80" i="1" a="1"/>
  <c r="B323" i="1" a="1"/>
  <c r="D186" i="1" a="1"/>
  <c r="B234" i="1" a="1"/>
  <c r="B111" i="1" a="1"/>
  <c r="E341" i="1" a="1"/>
  <c r="E119" i="1" a="1"/>
  <c r="B402" i="1" a="1"/>
  <c r="D202" i="1" a="1"/>
  <c r="D58" i="1" a="1"/>
  <c r="B284" i="1" a="1"/>
  <c r="D28" i="1" a="1"/>
  <c r="F148" i="1" a="1"/>
  <c r="B162" i="1" a="1"/>
  <c r="F111" i="1" a="1"/>
  <c r="B324" i="1" a="1"/>
  <c r="B161" i="1" a="1"/>
  <c r="E19" i="1" a="1"/>
  <c r="F58" i="1" a="1"/>
  <c r="F413" i="1" a="1"/>
  <c r="E28" i="1" a="1"/>
  <c r="B218" i="1" a="1"/>
  <c r="B271" i="1" a="1"/>
  <c r="B56" i="1" a="1"/>
  <c r="B398" i="1" a="1"/>
  <c r="E319" i="1" a="1"/>
  <c r="F50" i="1" a="1"/>
  <c r="B270" i="1" a="1"/>
  <c r="D318" i="1" a="1"/>
  <c r="D189" i="1" a="1"/>
  <c r="E146" i="1" a="1"/>
  <c r="B146" i="1" a="1"/>
  <c r="E247" i="1" a="1"/>
  <c r="E80" i="1" a="1"/>
  <c r="B465" i="1" a="1"/>
  <c r="F440" i="1" a="1"/>
  <c r="E363" i="1" a="1"/>
  <c r="F212" i="1" a="1"/>
  <c r="D65" i="1" a="1"/>
  <c r="D35" i="1" a="1"/>
  <c r="E5" i="1" a="1"/>
  <c r="B354" i="1" a="1"/>
  <c r="B180" i="1" a="1"/>
  <c r="F277" i="1" a="1"/>
  <c r="F120" i="1" a="1"/>
  <c r="B11" i="1" a="1"/>
  <c r="B57" i="1" a="1"/>
  <c r="F340" i="1" a="1"/>
  <c r="E20" i="1" a="1"/>
  <c r="D388" i="1" a="1"/>
  <c r="E230" i="1" a="1"/>
  <c r="E137" i="1" a="1"/>
  <c r="E74" i="1" a="1"/>
  <c r="D44" i="1" a="1"/>
  <c r="B446" i="1" a="1"/>
  <c r="B253" i="1" a="1"/>
  <c r="B199" i="1" a="1"/>
  <c r="B90" i="1" a="1"/>
  <c r="E387" i="1" a="1"/>
  <c r="F176" i="1" a="1"/>
  <c r="F103" i="1" a="1"/>
  <c r="F73" i="1" a="1"/>
  <c r="E43" i="1" a="1"/>
  <c r="D13" i="1" a="1"/>
  <c r="B445" i="1" a="1"/>
  <c r="B375" i="1" a="1"/>
  <c r="B197" i="1" a="1"/>
  <c r="B143" i="1" a="1"/>
  <c r="F341" i="1" a="1"/>
  <c r="D165" i="1" a="1"/>
  <c r="D128" i="1" a="1"/>
  <c r="D95" i="1" a="1"/>
  <c r="F3" i="1" a="1"/>
  <c r="E156" i="1" a="1"/>
  <c r="F88" i="1" a="1"/>
  <c r="B339" i="1" a="1"/>
  <c r="B179" i="1" a="1"/>
  <c r="F439" i="1" a="1"/>
  <c r="E202" i="1" a="1"/>
  <c r="D88" i="1" a="1"/>
  <c r="F28" i="1" a="1"/>
  <c r="D156" i="1" a="1"/>
  <c r="B399" i="1" a="1"/>
  <c r="B337" i="1" a="1"/>
  <c r="B163" i="1" a="1"/>
  <c r="F319" i="1" a="1"/>
  <c r="D112" i="1" a="1"/>
  <c r="F147" i="1" a="1"/>
  <c r="B467" i="1" a="1"/>
  <c r="B93" i="1" a="1"/>
  <c r="D111" i="1" a="1"/>
  <c r="F49" i="1" a="1"/>
  <c r="B40" i="1" a="1"/>
  <c r="F317" i="1" a="1"/>
  <c r="B380" i="1" a="1"/>
  <c r="B380" i="1" l="1"/>
  <c r="F317" i="1"/>
  <c r="B40" i="1"/>
  <c r="F49" i="1"/>
  <c r="D111" i="1"/>
  <c r="B93" i="1"/>
  <c r="B467" i="1"/>
  <c r="F147" i="1"/>
  <c r="D112" i="1"/>
  <c r="F319" i="1"/>
  <c r="B163" i="1"/>
  <c r="B337" i="1"/>
  <c r="B399" i="1"/>
  <c r="D156" i="1"/>
  <c r="F28" i="1"/>
  <c r="D88" i="1"/>
  <c r="E202" i="1"/>
  <c r="F439" i="1"/>
  <c r="B179" i="1"/>
  <c r="B339" i="1"/>
  <c r="F88" i="1"/>
  <c r="E156" i="1"/>
  <c r="F3" i="1"/>
  <c r="D95" i="1"/>
  <c r="D128" i="1"/>
  <c r="D165" i="1"/>
  <c r="F341" i="1"/>
  <c r="B143" i="1"/>
  <c r="B197" i="1"/>
  <c r="B375" i="1"/>
  <c r="B445" i="1"/>
  <c r="D13" i="1"/>
  <c r="E43" i="1"/>
  <c r="F73" i="1"/>
  <c r="F103" i="1"/>
  <c r="F176" i="1"/>
  <c r="E387" i="1"/>
  <c r="B90" i="1"/>
  <c r="B199" i="1"/>
  <c r="B253" i="1"/>
  <c r="B446" i="1"/>
  <c r="D44" i="1"/>
  <c r="E74" i="1"/>
  <c r="E137" i="1"/>
  <c r="E230" i="1"/>
  <c r="D388" i="1"/>
  <c r="E20" i="1"/>
  <c r="F340" i="1"/>
  <c r="B57" i="1"/>
  <c r="B11" i="1"/>
  <c r="F120" i="1"/>
  <c r="F277" i="1"/>
  <c r="B180" i="1"/>
  <c r="B354" i="1"/>
  <c r="E5" i="1"/>
  <c r="D35" i="1"/>
  <c r="D65" i="1"/>
  <c r="F212" i="1"/>
  <c r="E363" i="1"/>
  <c r="F440" i="1"/>
  <c r="B465" i="1"/>
  <c r="E80" i="1"/>
  <c r="E247" i="1"/>
  <c r="B146" i="1"/>
  <c r="E146" i="1"/>
  <c r="D189" i="1"/>
  <c r="D318" i="1"/>
  <c r="B270" i="1"/>
  <c r="F50" i="1"/>
  <c r="E319" i="1"/>
  <c r="B398" i="1"/>
  <c r="B56" i="1"/>
  <c r="B271" i="1"/>
  <c r="B218" i="1"/>
  <c r="E28" i="1"/>
  <c r="F413" i="1"/>
  <c r="F58" i="1"/>
  <c r="E19" i="1"/>
  <c r="B161" i="1"/>
  <c r="B324" i="1"/>
  <c r="F111" i="1"/>
  <c r="B162" i="1"/>
  <c r="F148" i="1"/>
  <c r="D28" i="1"/>
  <c r="B284" i="1"/>
  <c r="D58" i="1"/>
  <c r="D202" i="1"/>
  <c r="B402" i="1"/>
  <c r="E119" i="1"/>
  <c r="E341" i="1"/>
  <c r="B111" i="1"/>
  <c r="B234" i="1"/>
  <c r="D186" i="1"/>
  <c r="B323" i="1"/>
  <c r="F80" i="1"/>
  <c r="B217" i="1"/>
  <c r="B488" i="1"/>
  <c r="B490" i="1"/>
  <c r="B12" i="1"/>
  <c r="B341" i="1"/>
  <c r="B73" i="1"/>
  <c r="B126" i="1"/>
  <c r="B235" i="1"/>
  <c r="B300" i="1"/>
  <c r="B426" i="1"/>
  <c r="E96" i="1"/>
  <c r="F128" i="1"/>
  <c r="E281" i="1"/>
  <c r="F469" i="1"/>
  <c r="B24" i="1"/>
  <c r="B74" i="1"/>
  <c r="B127" i="1"/>
  <c r="B247" i="1"/>
  <c r="B301" i="1"/>
  <c r="B355" i="1"/>
  <c r="F65" i="1"/>
  <c r="F96" i="1"/>
  <c r="E286" i="1"/>
  <c r="D364" i="1"/>
  <c r="D470" i="1"/>
  <c r="B75" i="1"/>
  <c r="B302" i="1"/>
  <c r="B359" i="1"/>
  <c r="F12" i="1"/>
  <c r="E42" i="1"/>
  <c r="E72" i="1"/>
  <c r="E102" i="1"/>
  <c r="F136" i="1"/>
  <c r="E176" i="1"/>
  <c r="E364" i="1"/>
  <c r="B306" i="1"/>
  <c r="B361" i="1"/>
  <c r="B444" i="1"/>
  <c r="D103" i="1"/>
  <c r="D230" i="1"/>
  <c r="E298" i="1"/>
  <c r="E471" i="1"/>
  <c r="F51" i="1"/>
  <c r="D177" i="1"/>
  <c r="E472" i="1"/>
  <c r="B129" i="1"/>
  <c r="B254" i="1"/>
  <c r="B342" i="1"/>
  <c r="B427" i="1"/>
  <c r="E81" i="1"/>
  <c r="E113" i="1"/>
  <c r="D287" i="1"/>
  <c r="B98" i="1"/>
  <c r="B166" i="1"/>
  <c r="B496" i="1"/>
  <c r="B257" i="1"/>
  <c r="B4" i="1"/>
  <c r="B84" i="1"/>
  <c r="B154" i="1"/>
  <c r="B279" i="1"/>
  <c r="B370" i="1"/>
  <c r="B457" i="1"/>
  <c r="B480" i="1"/>
  <c r="F24" i="1"/>
  <c r="D62" i="1"/>
  <c r="E100" i="1"/>
  <c r="D117" i="1"/>
  <c r="F133" i="1"/>
  <c r="E152" i="1"/>
  <c r="F172" i="1"/>
  <c r="E184" i="1"/>
  <c r="D292" i="1"/>
  <c r="D330" i="1"/>
  <c r="E427" i="1"/>
  <c r="B69" i="1"/>
  <c r="B138" i="1"/>
  <c r="B191" i="1"/>
  <c r="B315" i="1"/>
  <c r="B351" i="1"/>
  <c r="B458" i="1"/>
  <c r="D3" i="1"/>
  <c r="D10" i="1"/>
  <c r="B72" i="1"/>
  <c r="B105" i="1"/>
  <c r="B141" i="1"/>
  <c r="B193" i="1"/>
  <c r="B229" i="1"/>
  <c r="B282" i="1"/>
  <c r="B299" i="1"/>
  <c r="B316" i="1"/>
  <c r="B353" i="1"/>
  <c r="B396" i="1"/>
  <c r="B416" i="1"/>
  <c r="B439" i="1"/>
  <c r="E3" i="1"/>
  <c r="D11" i="1"/>
  <c r="D26" i="1"/>
  <c r="F33" i="1"/>
  <c r="E41" i="1"/>
  <c r="E64" i="1"/>
  <c r="D71" i="1"/>
  <c r="D94" i="1"/>
  <c r="E101" i="1"/>
  <c r="F117" i="1"/>
  <c r="E136" i="1"/>
  <c r="D144" i="1"/>
  <c r="D164" i="1"/>
  <c r="D176" i="1"/>
  <c r="E185" i="1"/>
  <c r="F228" i="1"/>
  <c r="E258" i="1"/>
  <c r="F297" i="1"/>
  <c r="D317" i="1"/>
  <c r="F339" i="1"/>
  <c r="F411" i="1"/>
  <c r="F437" i="1"/>
  <c r="D469" i="1"/>
  <c r="B10" i="1"/>
  <c r="B22" i="1"/>
  <c r="B38" i="1"/>
  <c r="B89" i="1"/>
  <c r="B107" i="1"/>
  <c r="B125" i="1"/>
  <c r="B142" i="1"/>
  <c r="B246" i="1"/>
  <c r="B318" i="1"/>
  <c r="B373" i="1"/>
  <c r="B397" i="1"/>
  <c r="B418" i="1"/>
  <c r="B441" i="1"/>
  <c r="B461" i="1"/>
  <c r="B487" i="1"/>
  <c r="E12" i="1"/>
  <c r="D19" i="1"/>
  <c r="E26" i="1"/>
  <c r="D49" i="1"/>
  <c r="E71" i="1"/>
  <c r="F86" i="1"/>
  <c r="E110" i="1"/>
  <c r="D118" i="1"/>
  <c r="E126" i="1"/>
  <c r="E145" i="1"/>
  <c r="E164" i="1"/>
  <c r="F211" i="1"/>
  <c r="D229" i="1"/>
  <c r="E246" i="1"/>
  <c r="D277" i="1"/>
  <c r="E340" i="1"/>
  <c r="D387" i="1"/>
  <c r="E412" i="1"/>
  <c r="E439" i="1"/>
  <c r="E469" i="1"/>
  <c r="F6" i="1"/>
  <c r="E44" i="1"/>
  <c r="D81" i="1"/>
  <c r="F156" i="1"/>
  <c r="E192" i="1"/>
  <c r="F286" i="1"/>
  <c r="B97" i="1"/>
  <c r="B448" i="1"/>
  <c r="F44" i="1"/>
  <c r="F74" i="1"/>
  <c r="D149" i="1"/>
  <c r="D234" i="1"/>
  <c r="D342" i="1"/>
  <c r="B115" i="1"/>
  <c r="B236" i="1"/>
  <c r="B449" i="1"/>
  <c r="F22" i="1"/>
  <c r="E29" i="1"/>
  <c r="F67" i="1"/>
  <c r="D83" i="1"/>
  <c r="F90" i="1"/>
  <c r="F122" i="1"/>
  <c r="F130" i="1"/>
  <c r="D159" i="1"/>
  <c r="F168" i="1"/>
  <c r="D193" i="1"/>
  <c r="E220" i="1"/>
  <c r="F237" i="1"/>
  <c r="F248" i="1"/>
  <c r="D268" i="1"/>
  <c r="E287" i="1"/>
  <c r="E307" i="1"/>
  <c r="E328" i="1"/>
  <c r="F373" i="1"/>
  <c r="E453" i="1"/>
  <c r="D484" i="1"/>
  <c r="B2" i="1"/>
  <c r="B14" i="1"/>
  <c r="B30" i="1"/>
  <c r="B220" i="1"/>
  <c r="B238" i="1"/>
  <c r="B273" i="1"/>
  <c r="B291" i="1"/>
  <c r="B345" i="1"/>
  <c r="B364" i="1"/>
  <c r="B408" i="1"/>
  <c r="B428" i="1"/>
  <c r="F7" i="1"/>
  <c r="F15" i="1"/>
  <c r="E38" i="1"/>
  <c r="E45" i="1"/>
  <c r="D68" i="1"/>
  <c r="E83" i="1"/>
  <c r="F106" i="1"/>
  <c r="F113" i="1"/>
  <c r="E131" i="1"/>
  <c r="D141" i="1"/>
  <c r="E149" i="1"/>
  <c r="E180" i="1"/>
  <c r="D308" i="1"/>
  <c r="F351" i="1"/>
  <c r="E375" i="1"/>
  <c r="E399" i="1"/>
  <c r="D454" i="1"/>
  <c r="E59" i="1"/>
  <c r="B289" i="1"/>
  <c r="B310" i="1"/>
  <c r="D23" i="1"/>
  <c r="F83" i="1"/>
  <c r="F131" i="1"/>
  <c r="E170" i="1"/>
  <c r="E193" i="1"/>
  <c r="F220" i="1"/>
  <c r="E238" i="1"/>
  <c r="D400" i="1"/>
  <c r="E485" i="1"/>
  <c r="B148" i="1"/>
  <c r="F472" i="1"/>
  <c r="B475" i="1"/>
  <c r="D69" i="1"/>
  <c r="F206" i="1"/>
  <c r="F255" i="1"/>
  <c r="F287" i="1"/>
  <c r="F425" i="1"/>
  <c r="B3" i="1"/>
  <c r="B16" i="1"/>
  <c r="B82" i="1"/>
  <c r="B135" i="1"/>
  <c r="B153" i="1"/>
  <c r="B170" i="1"/>
  <c r="B206" i="1"/>
  <c r="B311" i="1"/>
  <c r="B366" i="1"/>
  <c r="B429" i="1"/>
  <c r="B456" i="1"/>
  <c r="B476" i="1"/>
  <c r="D2" i="1"/>
  <c r="D9" i="1"/>
  <c r="F31" i="1"/>
  <c r="E46" i="1"/>
  <c r="E69" i="1"/>
  <c r="F76" i="1"/>
  <c r="E84" i="1"/>
  <c r="F99" i="1"/>
  <c r="D107" i="1"/>
  <c r="E142" i="1"/>
  <c r="D161" i="1"/>
  <c r="F183" i="1"/>
  <c r="F256" i="1"/>
  <c r="F329" i="1"/>
  <c r="E352" i="1"/>
  <c r="F375" i="1"/>
  <c r="D455" i="1"/>
  <c r="E486" i="1"/>
  <c r="B381" i="1"/>
  <c r="B492" i="1"/>
  <c r="E13" i="1"/>
  <c r="D29" i="1"/>
  <c r="D66" i="1"/>
  <c r="D129" i="1"/>
  <c r="D203" i="1"/>
  <c r="F388" i="1"/>
  <c r="B28" i="1"/>
  <c r="B201" i="1"/>
  <c r="B473" i="1"/>
  <c r="D14" i="1"/>
  <c r="D97" i="1"/>
  <c r="E306" i="1"/>
  <c r="B151" i="1"/>
  <c r="B219" i="1"/>
  <c r="B48" i="1"/>
  <c r="B116" i="1"/>
  <c r="B327" i="1"/>
  <c r="B409" i="1"/>
  <c r="F8" i="1"/>
  <c r="E31" i="1"/>
  <c r="E54" i="1"/>
  <c r="D61" i="1"/>
  <c r="F75" i="1"/>
  <c r="D91" i="1"/>
  <c r="E98" i="1"/>
  <c r="E114" i="1"/>
  <c r="F123" i="1"/>
  <c r="B19" i="1"/>
  <c r="B35" i="1"/>
  <c r="B65" i="1"/>
  <c r="B100" i="1"/>
  <c r="B117" i="1"/>
  <c r="B190" i="1"/>
  <c r="B207" i="1"/>
  <c r="B297" i="1"/>
  <c r="B348" i="1"/>
  <c r="B389" i="1"/>
  <c r="B410" i="1"/>
  <c r="B477" i="1"/>
  <c r="F2" i="1"/>
  <c r="D24" i="1"/>
  <c r="D32" i="1"/>
  <c r="E39" i="1"/>
  <c r="F54" i="1"/>
  <c r="F61" i="1"/>
  <c r="D70" i="1"/>
  <c r="D77" i="1"/>
  <c r="F91" i="1"/>
  <c r="E115" i="1"/>
  <c r="F124" i="1"/>
  <c r="E132" i="1"/>
  <c r="D184" i="1"/>
  <c r="F193" i="1"/>
  <c r="D210" i="1"/>
  <c r="D221" i="1"/>
  <c r="F238" i="1"/>
  <c r="F275" i="1"/>
  <c r="D288" i="1"/>
  <c r="F352" i="1"/>
  <c r="D427" i="1"/>
  <c r="D456" i="1"/>
  <c r="B114" i="1"/>
  <c r="D488" i="1"/>
  <c r="B471" i="1"/>
  <c r="D36" i="1"/>
  <c r="D90" i="1"/>
  <c r="D121" i="1"/>
  <c r="E168" i="1"/>
  <c r="E248" i="1"/>
  <c r="B62" i="1"/>
  <c r="B182" i="1"/>
  <c r="B325" i="1"/>
  <c r="B362" i="1"/>
  <c r="B493" i="1"/>
  <c r="D37" i="1"/>
  <c r="E67" i="1"/>
  <c r="E121" i="1"/>
  <c r="D441" i="1"/>
  <c r="B255" i="1"/>
  <c r="B382" i="1"/>
  <c r="B474" i="1"/>
  <c r="B64" i="1"/>
  <c r="B99" i="1"/>
  <c r="B134" i="1"/>
  <c r="B36" i="1"/>
  <c r="B50" i="1"/>
  <c r="B137" i="1"/>
  <c r="B172" i="1"/>
  <c r="B226" i="1"/>
  <c r="B244" i="1"/>
  <c r="B261" i="1"/>
  <c r="B332" i="1"/>
  <c r="B350" i="1"/>
  <c r="B390" i="1"/>
  <c r="E9" i="1"/>
  <c r="E85" i="1"/>
  <c r="E143" i="1"/>
  <c r="E210" i="1"/>
  <c r="E276" i="1"/>
  <c r="D309" i="1"/>
  <c r="D376" i="1"/>
  <c r="B52" i="1"/>
  <c r="B86" i="1"/>
  <c r="B333" i="1"/>
  <c r="E18" i="1"/>
  <c r="F62" i="1"/>
  <c r="F77" i="1"/>
  <c r="F100" i="1"/>
  <c r="D125" i="1"/>
  <c r="D135" i="1"/>
  <c r="F152" i="1"/>
  <c r="D173" i="1"/>
  <c r="D197" i="1"/>
  <c r="F224" i="1"/>
  <c r="D239" i="1"/>
  <c r="F257" i="1"/>
  <c r="D296" i="1"/>
  <c r="F331" i="1"/>
  <c r="E401" i="1"/>
  <c r="E456" i="1"/>
  <c r="B13" i="1"/>
  <c r="E60" i="1"/>
  <c r="B81" i="1"/>
  <c r="B67" i="1"/>
  <c r="B314" i="1"/>
  <c r="E17" i="1"/>
  <c r="D401" i="1"/>
  <c r="B173" i="1"/>
  <c r="B298" i="1"/>
  <c r="B393" i="1"/>
  <c r="D40" i="1"/>
  <c r="D55" i="1"/>
  <c r="F70" i="1"/>
  <c r="E93" i="1"/>
  <c r="F107" i="1"/>
  <c r="F143" i="1"/>
  <c r="D211" i="1"/>
  <c r="E488" i="1"/>
  <c r="B21" i="1"/>
  <c r="B37" i="1"/>
  <c r="B53" i="1"/>
  <c r="B102" i="1"/>
  <c r="B123" i="1"/>
  <c r="B139" i="1"/>
  <c r="B155" i="1"/>
  <c r="B209" i="1"/>
  <c r="B245" i="1"/>
  <c r="B262" i="1"/>
  <c r="B281" i="1"/>
  <c r="B334" i="1"/>
  <c r="B371" i="1"/>
  <c r="B415" i="1"/>
  <c r="F18" i="1"/>
  <c r="F25" i="1"/>
  <c r="F48" i="1"/>
  <c r="E55" i="1"/>
  <c r="D78" i="1"/>
  <c r="F93" i="1"/>
  <c r="E117" i="1"/>
  <c r="F153" i="1"/>
  <c r="E173" i="1"/>
  <c r="F184" i="1"/>
  <c r="E211" i="1"/>
  <c r="E228" i="1"/>
  <c r="E239" i="1"/>
  <c r="D258" i="1"/>
  <c r="F276" i="1"/>
  <c r="D313" i="1"/>
  <c r="E353" i="1"/>
  <c r="F427" i="1"/>
  <c r="F488" i="1"/>
  <c r="B5" i="1"/>
  <c r="B18" i="1"/>
  <c r="B29" i="1"/>
  <c r="B41" i="1"/>
  <c r="B54" i="1"/>
  <c r="B91" i="1"/>
  <c r="B106" i="1"/>
  <c r="B132" i="1"/>
  <c r="B157" i="1"/>
  <c r="B171" i="1"/>
  <c r="B210" i="1"/>
  <c r="B225" i="1"/>
  <c r="B263" i="1"/>
  <c r="B290" i="1"/>
  <c r="B387" i="1"/>
  <c r="B447" i="1"/>
  <c r="B478" i="1"/>
  <c r="B495" i="1"/>
  <c r="D15" i="1"/>
  <c r="F19" i="1"/>
  <c r="E25" i="1"/>
  <c r="E35" i="1"/>
  <c r="F45" i="1"/>
  <c r="E51" i="1"/>
  <c r="D56" i="1"/>
  <c r="E61" i="1"/>
  <c r="D87" i="1"/>
  <c r="F92" i="1"/>
  <c r="E97" i="1"/>
  <c r="E103" i="1"/>
  <c r="D114" i="1"/>
  <c r="D120" i="1"/>
  <c r="E125" i="1"/>
  <c r="D138" i="1"/>
  <c r="F164" i="1"/>
  <c r="F171" i="1"/>
  <c r="F187" i="1"/>
  <c r="E196" i="1"/>
  <c r="F223" i="1"/>
  <c r="E251" i="1"/>
  <c r="E270" i="1"/>
  <c r="F280" i="1"/>
  <c r="E322" i="1"/>
  <c r="D345" i="1"/>
  <c r="E356" i="1"/>
  <c r="D392" i="1"/>
  <c r="D405" i="1"/>
  <c r="F417" i="1"/>
  <c r="E460" i="1"/>
  <c r="F476" i="1"/>
  <c r="B80" i="1"/>
  <c r="B118" i="1"/>
  <c r="B133" i="1"/>
  <c r="B145" i="1"/>
  <c r="B159" i="1"/>
  <c r="B211" i="1"/>
  <c r="B237" i="1"/>
  <c r="B252" i="1"/>
  <c r="B305" i="1"/>
  <c r="B317" i="1"/>
  <c r="B330" i="1"/>
  <c r="B357" i="1"/>
  <c r="B372" i="1"/>
  <c r="B388" i="1"/>
  <c r="B432" i="1"/>
  <c r="E4" i="1"/>
  <c r="F9" i="1"/>
  <c r="E30" i="1"/>
  <c r="E56" i="1"/>
  <c r="F71" i="1"/>
  <c r="E77" i="1"/>
  <c r="E82" i="1"/>
  <c r="F87" i="1"/>
  <c r="D93" i="1"/>
  <c r="E108" i="1"/>
  <c r="E120" i="1"/>
  <c r="D132" i="1"/>
  <c r="F144" i="1"/>
  <c r="E224" i="1"/>
  <c r="E242" i="1"/>
  <c r="F251" i="1"/>
  <c r="F261" i="1"/>
  <c r="F271" i="1"/>
  <c r="F323" i="1"/>
  <c r="F356" i="1"/>
  <c r="D393" i="1"/>
  <c r="D406" i="1"/>
  <c r="E419" i="1"/>
  <c r="E446" i="1"/>
  <c r="F477" i="1"/>
  <c r="D324" i="1"/>
  <c r="E335" i="1"/>
  <c r="E357" i="1"/>
  <c r="D369" i="1"/>
  <c r="E432" i="1"/>
  <c r="D463" i="1"/>
  <c r="D478" i="1"/>
  <c r="F494" i="1"/>
  <c r="E252" i="1"/>
  <c r="D282" i="1"/>
  <c r="F302" i="1"/>
  <c r="E313" i="1"/>
  <c r="E346" i="1"/>
  <c r="E381" i="1"/>
  <c r="E393" i="1"/>
  <c r="F432" i="1"/>
  <c r="D447" i="1"/>
  <c r="D243" i="1"/>
  <c r="B20" i="1"/>
  <c r="B45" i="1"/>
  <c r="B70" i="1"/>
  <c r="B95" i="1"/>
  <c r="B108" i="1"/>
  <c r="B188" i="1"/>
  <c r="B227" i="1"/>
  <c r="B266" i="1"/>
  <c r="B293" i="1"/>
  <c r="B307" i="1"/>
  <c r="B319" i="1"/>
  <c r="B346" i="1"/>
  <c r="B405" i="1"/>
  <c r="B419" i="1"/>
  <c r="B436" i="1"/>
  <c r="B466" i="1"/>
  <c r="B497" i="1"/>
  <c r="D6" i="1"/>
  <c r="D16" i="1"/>
  <c r="E47" i="1"/>
  <c r="D52" i="1"/>
  <c r="F57" i="1"/>
  <c r="E73" i="1"/>
  <c r="D104" i="1"/>
  <c r="D110" i="1"/>
  <c r="F127" i="1"/>
  <c r="E133" i="1"/>
  <c r="D140" i="1"/>
  <c r="F159" i="1"/>
  <c r="F180" i="1"/>
  <c r="E189" i="1"/>
  <c r="F197" i="1"/>
  <c r="D207" i="1"/>
  <c r="E216" i="1"/>
  <c r="E234" i="1"/>
  <c r="F243" i="1"/>
  <c r="F262" i="1"/>
  <c r="E272" i="1"/>
  <c r="F282" i="1"/>
  <c r="E324" i="1"/>
  <c r="D336" i="1"/>
  <c r="D347" i="1"/>
  <c r="D358" i="1"/>
  <c r="F369" i="1"/>
  <c r="E407" i="1"/>
  <c r="E463" i="1"/>
  <c r="F478" i="1"/>
  <c r="F216" i="1"/>
  <c r="E225" i="1"/>
  <c r="F252" i="1"/>
  <c r="F313" i="1"/>
  <c r="D325" i="1"/>
  <c r="F347" i="1"/>
  <c r="E358" i="1"/>
  <c r="E370" i="1"/>
  <c r="F381" i="1"/>
  <c r="D395" i="1"/>
  <c r="E420" i="1"/>
  <c r="E433" i="1"/>
  <c r="B33" i="1"/>
  <c r="B46" i="1"/>
  <c r="B58" i="1"/>
  <c r="B109" i="1"/>
  <c r="B124" i="1"/>
  <c r="B150" i="1"/>
  <c r="B175" i="1"/>
  <c r="B189" i="1"/>
  <c r="B202" i="1"/>
  <c r="B228" i="1"/>
  <c r="B243" i="1"/>
  <c r="B308" i="1"/>
  <c r="B321" i="1"/>
  <c r="B335" i="1"/>
  <c r="B378" i="1"/>
  <c r="B407" i="1"/>
  <c r="B422" i="1"/>
  <c r="B437" i="1"/>
  <c r="B454" i="1"/>
  <c r="B484" i="1"/>
  <c r="B499" i="1"/>
  <c r="E6" i="1"/>
  <c r="D27" i="1"/>
  <c r="F37" i="1"/>
  <c r="F63" i="1"/>
  <c r="D74" i="1"/>
  <c r="F78" i="1"/>
  <c r="E89" i="1"/>
  <c r="E116" i="1"/>
  <c r="F121" i="1"/>
  <c r="E140" i="1"/>
  <c r="D147" i="1"/>
  <c r="D153" i="1"/>
  <c r="D174" i="1"/>
  <c r="D181" i="1"/>
  <c r="F189" i="1"/>
  <c r="E207" i="1"/>
  <c r="D217" i="1"/>
  <c r="D263" i="1"/>
  <c r="F272" i="1"/>
  <c r="E283" i="1"/>
  <c r="F293" i="1"/>
  <c r="F303" i="1"/>
  <c r="D314" i="1"/>
  <c r="E336" i="1"/>
  <c r="D371" i="1"/>
  <c r="E383" i="1"/>
  <c r="E395" i="1"/>
  <c r="F407" i="1"/>
  <c r="D421" i="1"/>
  <c r="E449" i="1"/>
  <c r="F464" i="1"/>
  <c r="F496" i="1"/>
  <c r="B363" i="1"/>
  <c r="B379" i="1"/>
  <c r="B391" i="1"/>
  <c r="B438" i="1"/>
  <c r="B455" i="1"/>
  <c r="B486" i="1"/>
  <c r="F16" i="1"/>
  <c r="E22" i="1"/>
  <c r="E32" i="1"/>
  <c r="D38" i="1"/>
  <c r="F42" i="1"/>
  <c r="E48" i="1"/>
  <c r="D53" i="1"/>
  <c r="E58" i="1"/>
  <c r="D64" i="1"/>
  <c r="E68" i="1"/>
  <c r="D79" i="1"/>
  <c r="D84" i="1"/>
  <c r="F89" i="1"/>
  <c r="E94" i="1"/>
  <c r="D100" i="1"/>
  <c r="D105" i="1"/>
  <c r="F110" i="1"/>
  <c r="D122" i="1"/>
  <c r="E128" i="1"/>
  <c r="E134" i="1"/>
  <c r="F160" i="1"/>
  <c r="D168" i="1"/>
  <c r="D190" i="1"/>
  <c r="D199" i="1"/>
  <c r="F207" i="1"/>
  <c r="E226" i="1"/>
  <c r="E244" i="1"/>
  <c r="D294" i="1"/>
  <c r="E304" i="1"/>
  <c r="E325" i="1"/>
  <c r="F336" i="1"/>
  <c r="D348" i="1"/>
  <c r="E359" i="1"/>
  <c r="F371" i="1"/>
  <c r="D408" i="1"/>
  <c r="F433" i="1"/>
  <c r="F479" i="1"/>
  <c r="B27" i="1"/>
  <c r="B44" i="1"/>
  <c r="B61" i="1"/>
  <c r="B78" i="1"/>
  <c r="B169" i="1"/>
  <c r="B178" i="1"/>
  <c r="B187" i="1"/>
  <c r="B196" i="1"/>
  <c r="B205" i="1"/>
  <c r="B214" i="1"/>
  <c r="B223" i="1"/>
  <c r="B233" i="1"/>
  <c r="B242" i="1"/>
  <c r="B251" i="1"/>
  <c r="B260" i="1"/>
  <c r="B269" i="1"/>
  <c r="B278" i="1"/>
  <c r="B287" i="1"/>
  <c r="B406" i="1"/>
  <c r="B425" i="1"/>
  <c r="B435" i="1"/>
  <c r="B464" i="1"/>
  <c r="B483" i="1"/>
  <c r="E2" i="1"/>
  <c r="F5" i="1"/>
  <c r="D12" i="1"/>
  <c r="E15" i="1"/>
  <c r="F21" i="1"/>
  <c r="D25" i="1"/>
  <c r="F34" i="1"/>
  <c r="D41" i="1"/>
  <c r="E57" i="1"/>
  <c r="F60" i="1"/>
  <c r="D67" i="1"/>
  <c r="D80" i="1"/>
  <c r="E86" i="1"/>
  <c r="E99" i="1"/>
  <c r="E106" i="1"/>
  <c r="F109" i="1"/>
  <c r="F116" i="1"/>
  <c r="D124" i="1"/>
  <c r="E135" i="1"/>
  <c r="F139" i="1"/>
  <c r="E147" i="1"/>
  <c r="F151" i="1"/>
  <c r="E155" i="1"/>
  <c r="F163" i="1"/>
  <c r="F167" i="1"/>
  <c r="E171" i="1"/>
  <c r="F179" i="1"/>
  <c r="F196" i="1"/>
  <c r="D201" i="1"/>
  <c r="D206" i="1"/>
  <c r="F214" i="1"/>
  <c r="F219" i="1"/>
  <c r="E233" i="1"/>
  <c r="D266" i="1"/>
  <c r="D281" i="1"/>
  <c r="D297" i="1"/>
  <c r="F301" i="1"/>
  <c r="D307" i="1"/>
  <c r="E312" i="1"/>
  <c r="E317" i="1"/>
  <c r="D329" i="1"/>
  <c r="D334" i="1"/>
  <c r="D362" i="1"/>
  <c r="F368" i="1"/>
  <c r="D374" i="1"/>
  <c r="F380" i="1"/>
  <c r="D386" i="1"/>
  <c r="E392" i="1"/>
  <c r="E424" i="1"/>
  <c r="D432" i="1"/>
  <c r="D446" i="1"/>
  <c r="E461" i="1"/>
  <c r="F492" i="1"/>
  <c r="B401" i="1"/>
  <c r="B459" i="1"/>
  <c r="B479" i="1"/>
  <c r="E36" i="1"/>
  <c r="F39" i="1"/>
  <c r="D46" i="1"/>
  <c r="E52" i="1"/>
  <c r="F55" i="1"/>
  <c r="E65" i="1"/>
  <c r="F68" i="1"/>
  <c r="D75" i="1"/>
  <c r="E78" i="1"/>
  <c r="D85" i="1"/>
  <c r="E91" i="1"/>
  <c r="F97" i="1"/>
  <c r="D101" i="1"/>
  <c r="E104" i="1"/>
  <c r="E111" i="1"/>
  <c r="F114" i="1"/>
  <c r="E118" i="1"/>
  <c r="F125" i="1"/>
  <c r="E129" i="1"/>
  <c r="E141" i="1"/>
  <c r="F145" i="1"/>
  <c r="E153" i="1"/>
  <c r="F157" i="1"/>
  <c r="E165" i="1"/>
  <c r="E177" i="1"/>
  <c r="E190" i="1"/>
  <c r="F203" i="1"/>
  <c r="E217" i="1"/>
  <c r="F221" i="1"/>
  <c r="D231" i="1"/>
  <c r="E235" i="1"/>
  <c r="E240" i="1"/>
  <c r="D249" i="1"/>
  <c r="E254" i="1"/>
  <c r="E263" i="1"/>
  <c r="F268" i="1"/>
  <c r="F278" i="1"/>
  <c r="F283" i="1"/>
  <c r="F288" i="1"/>
  <c r="D299" i="1"/>
  <c r="F304" i="1"/>
  <c r="F309" i="1"/>
  <c r="E320" i="1"/>
  <c r="D326" i="1"/>
  <c r="D332" i="1"/>
  <c r="D337" i="1"/>
  <c r="E342" i="1"/>
  <c r="E348" i="1"/>
  <c r="E365" i="1"/>
  <c r="E377" i="1"/>
  <c r="F383" i="1"/>
  <c r="F389" i="1"/>
  <c r="F395" i="1"/>
  <c r="F401" i="1"/>
  <c r="E408" i="1"/>
  <c r="D415" i="1"/>
  <c r="E421" i="1"/>
  <c r="D428" i="1"/>
  <c r="D442" i="1"/>
  <c r="D450" i="1"/>
  <c r="E458" i="1"/>
  <c r="D465" i="1"/>
  <c r="F481" i="1"/>
  <c r="D497" i="1"/>
  <c r="B420" i="1"/>
  <c r="B430" i="1"/>
  <c r="B440" i="1"/>
  <c r="B469" i="1"/>
  <c r="B498" i="1"/>
  <c r="D7" i="1"/>
  <c r="E10" i="1"/>
  <c r="F13" i="1"/>
  <c r="D20" i="1"/>
  <c r="E23" i="1"/>
  <c r="D33" i="1"/>
  <c r="B6" i="1"/>
  <c r="B32" i="1"/>
  <c r="B49" i="1"/>
  <c r="B66" i="1"/>
  <c r="B83" i="1"/>
  <c r="B92" i="1"/>
  <c r="B101" i="1"/>
  <c r="B110" i="1"/>
  <c r="B119" i="1"/>
  <c r="B156" i="1"/>
  <c r="B165" i="1"/>
  <c r="B174" i="1"/>
  <c r="B183" i="1"/>
  <c r="B265" i="1"/>
  <c r="B274" i="1"/>
  <c r="B283" i="1"/>
  <c r="B329" i="1"/>
  <c r="B338" i="1"/>
  <c r="B347" i="1"/>
  <c r="B356" i="1"/>
  <c r="B365" i="1"/>
  <c r="B374" i="1"/>
  <c r="B383" i="1"/>
  <c r="B411" i="1"/>
  <c r="B431" i="1"/>
  <c r="B450" i="1"/>
  <c r="B460" i="1"/>
  <c r="B470" i="1"/>
  <c r="B489" i="1"/>
  <c r="D4" i="1"/>
  <c r="E7" i="1"/>
  <c r="D17" i="1"/>
  <c r="D30" i="1"/>
  <c r="F36" i="1"/>
  <c r="D43" i="1"/>
  <c r="E49" i="1"/>
  <c r="F52" i="1"/>
  <c r="E62" i="1"/>
  <c r="D72" i="1"/>
  <c r="E75" i="1"/>
  <c r="D82" i="1"/>
  <c r="E88" i="1"/>
  <c r="F94" i="1"/>
  <c r="D98" i="1"/>
  <c r="F104" i="1"/>
  <c r="D108" i="1"/>
  <c r="D115" i="1"/>
  <c r="E122" i="1"/>
  <c r="D126" i="1"/>
  <c r="E130" i="1"/>
  <c r="D134" i="1"/>
  <c r="F137" i="1"/>
  <c r="F141" i="1"/>
  <c r="D146" i="1"/>
  <c r="F149" i="1"/>
  <c r="F161" i="1"/>
  <c r="F169" i="1"/>
  <c r="F173" i="1"/>
  <c r="E208" i="1"/>
  <c r="D213" i="1"/>
  <c r="F244" i="1"/>
  <c r="D259" i="1"/>
  <c r="F273" i="1"/>
  <c r="F289" i="1"/>
  <c r="F294" i="1"/>
  <c r="E299" i="1"/>
  <c r="F320" i="1"/>
  <c r="E326" i="1"/>
  <c r="E337" i="1"/>
  <c r="E343" i="1"/>
  <c r="D354" i="1"/>
  <c r="F359" i="1"/>
  <c r="F365" i="1"/>
  <c r="D372" i="1"/>
  <c r="F377" i="1"/>
  <c r="D390" i="1"/>
  <c r="F408" i="1"/>
  <c r="D416" i="1"/>
  <c r="F428" i="1"/>
  <c r="F435" i="1"/>
  <c r="D473" i="1"/>
  <c r="E489" i="1"/>
  <c r="D158" i="1"/>
  <c r="D162" i="1"/>
  <c r="F165" i="1"/>
  <c r="F177" i="1"/>
  <c r="F186" i="1"/>
  <c r="F190" i="1"/>
  <c r="E195" i="1"/>
  <c r="F199" i="1"/>
  <c r="D204" i="1"/>
  <c r="D209" i="1"/>
  <c r="F217" i="1"/>
  <c r="D222" i="1"/>
  <c r="D227" i="1"/>
  <c r="E231" i="1"/>
  <c r="F235" i="1"/>
  <c r="F240" i="1"/>
  <c r="D245" i="1"/>
  <c r="F254" i="1"/>
  <c r="D279" i="1"/>
  <c r="E284" i="1"/>
  <c r="E305" i="1"/>
  <c r="E310" i="1"/>
  <c r="D321" i="1"/>
  <c r="E332" i="1"/>
  <c r="F343" i="1"/>
  <c r="E354" i="1"/>
  <c r="F360" i="1"/>
  <c r="D366" i="1"/>
  <c r="D378" i="1"/>
  <c r="D384" i="1"/>
  <c r="E396" i="1"/>
  <c r="E403" i="1"/>
  <c r="E409" i="1"/>
  <c r="D423" i="1"/>
  <c r="E450" i="1"/>
  <c r="D466" i="1"/>
  <c r="D482" i="1"/>
  <c r="F182" i="1"/>
  <c r="F195" i="1"/>
  <c r="D223" i="1"/>
  <c r="F249" i="1"/>
  <c r="D255" i="1"/>
  <c r="F259" i="1"/>
  <c r="F264" i="1"/>
  <c r="D274" i="1"/>
  <c r="D290" i="1"/>
  <c r="D295" i="1"/>
  <c r="F299" i="1"/>
  <c r="D316" i="1"/>
  <c r="F332" i="1"/>
  <c r="D338" i="1"/>
  <c r="E349" i="1"/>
  <c r="E372" i="1"/>
  <c r="D391" i="1"/>
  <c r="E416" i="1"/>
  <c r="E423" i="1"/>
  <c r="E429" i="1"/>
  <c r="D444" i="1"/>
  <c r="F451" i="1"/>
  <c r="D459" i="1"/>
  <c r="D475" i="1"/>
  <c r="E482" i="1"/>
  <c r="F489" i="1"/>
  <c r="F498" i="1"/>
  <c r="B230" i="1"/>
  <c r="B385" i="1"/>
  <c r="B394" i="1"/>
  <c r="B423" i="1"/>
  <c r="B481" i="1"/>
  <c r="F4" i="1"/>
  <c r="F17" i="1"/>
  <c r="D21" i="1"/>
  <c r="F30" i="1"/>
  <c r="F46" i="1"/>
  <c r="F108" i="1"/>
  <c r="F142" i="1"/>
  <c r="D214" i="1"/>
  <c r="D301" i="1"/>
  <c r="E338" i="1"/>
  <c r="E367" i="1"/>
  <c r="E391" i="1"/>
  <c r="F396" i="1"/>
  <c r="D404" i="1"/>
  <c r="D417" i="1"/>
  <c r="F429" i="1"/>
  <c r="E436" i="1"/>
  <c r="F459" i="1"/>
  <c r="E475" i="1"/>
  <c r="F482" i="1"/>
  <c r="D499" i="1"/>
  <c r="B8" i="1"/>
  <c r="B25" i="1"/>
  <c r="B121" i="1"/>
  <c r="B185" i="1"/>
  <c r="B212" i="1"/>
  <c r="B285" i="1"/>
  <c r="E66" i="1"/>
  <c r="F72" i="1"/>
  <c r="E79" i="1"/>
  <c r="F85" i="1"/>
  <c r="E95" i="1"/>
  <c r="F115" i="1"/>
  <c r="F126" i="1"/>
  <c r="E150" i="1"/>
  <c r="D191" i="1"/>
  <c r="D218" i="1"/>
  <c r="E227" i="1"/>
  <c r="E241" i="1"/>
  <c r="F245" i="1"/>
  <c r="F269" i="1"/>
  <c r="F284" i="1"/>
  <c r="F305" i="1"/>
  <c r="D385" i="1"/>
  <c r="B122" i="1"/>
  <c r="B131" i="1"/>
  <c r="B140" i="1"/>
  <c r="B158" i="1"/>
  <c r="B249" i="1"/>
  <c r="B313" i="1"/>
  <c r="B349" i="1"/>
  <c r="B443" i="1"/>
  <c r="B491" i="1"/>
  <c r="F14" i="1"/>
  <c r="E24" i="1"/>
  <c r="E37" i="1"/>
  <c r="F43" i="1"/>
  <c r="F69" i="1"/>
  <c r="F82" i="1"/>
  <c r="D102" i="1"/>
  <c r="D116" i="1"/>
  <c r="F119" i="1"/>
  <c r="D131" i="1"/>
  <c r="E187" i="1"/>
  <c r="D196" i="1"/>
  <c r="F209" i="1"/>
  <c r="E223" i="1"/>
  <c r="E255" i="1"/>
  <c r="F349" i="1"/>
  <c r="B42" i="1"/>
  <c r="B59" i="1"/>
  <c r="B76" i="1"/>
  <c r="B194" i="1"/>
  <c r="B203" i="1"/>
  <c r="B221" i="1"/>
  <c r="B239" i="1"/>
  <c r="B267" i="1"/>
  <c r="B276" i="1"/>
  <c r="B294" i="1"/>
  <c r="B303" i="1"/>
  <c r="B413" i="1"/>
  <c r="B442" i="1"/>
  <c r="B452" i="1"/>
  <c r="B462" i="1"/>
  <c r="B500" i="1"/>
  <c r="D8" i="1"/>
  <c r="E14" i="1"/>
  <c r="E27" i="1"/>
  <c r="D34" i="1"/>
  <c r="E40" i="1"/>
  <c r="D50" i="1"/>
  <c r="F59" i="1"/>
  <c r="D92" i="1"/>
  <c r="D123" i="1"/>
  <c r="E138" i="1"/>
  <c r="F154" i="1"/>
  <c r="E158" i="1"/>
  <c r="E162" i="1"/>
  <c r="E174" i="1"/>
  <c r="D179" i="1"/>
  <c r="D183" i="1"/>
  <c r="E204" i="1"/>
  <c r="F231" i="1"/>
  <c r="D275" i="1"/>
  <c r="F310" i="1"/>
  <c r="E327" i="1"/>
  <c r="E344" i="1"/>
  <c r="D361" i="1"/>
  <c r="F372" i="1"/>
  <c r="B17" i="1"/>
  <c r="B34" i="1"/>
  <c r="B51" i="1"/>
  <c r="B68" i="1"/>
  <c r="B85" i="1"/>
  <c r="B94" i="1"/>
  <c r="B103" i="1"/>
  <c r="B149" i="1"/>
  <c r="B167" i="1"/>
  <c r="B322" i="1"/>
  <c r="B331" i="1"/>
  <c r="B340" i="1"/>
  <c r="B358" i="1"/>
  <c r="B367" i="1"/>
  <c r="B395" i="1"/>
  <c r="B404" i="1"/>
  <c r="B414" i="1"/>
  <c r="B433" i="1"/>
  <c r="B472" i="1"/>
  <c r="E11" i="1"/>
  <c r="D18" i="1"/>
  <c r="F56" i="1"/>
  <c r="E63" i="1"/>
  <c r="D89" i="1"/>
  <c r="F98" i="1"/>
  <c r="E105" i="1"/>
  <c r="D109" i="1"/>
  <c r="D127" i="1"/>
  <c r="F134" i="1"/>
  <c r="F146" i="1"/>
  <c r="F158" i="1"/>
  <c r="F166" i="1"/>
  <c r="E183" i="1"/>
  <c r="D192" i="1"/>
  <c r="F204" i="1"/>
  <c r="F227" i="1"/>
  <c r="D246" i="1"/>
  <c r="D251" i="1"/>
  <c r="D260" i="1"/>
  <c r="D280" i="1"/>
  <c r="E295" i="1"/>
  <c r="D306" i="1"/>
  <c r="F316" i="1"/>
  <c r="D322" i="1"/>
  <c r="D333" i="1"/>
  <c r="E339" i="1"/>
  <c r="F344" i="1"/>
  <c r="D356" i="1"/>
  <c r="E361" i="1"/>
  <c r="D379" i="1"/>
  <c r="F391" i="1"/>
  <c r="F397" i="1"/>
  <c r="E411" i="1"/>
  <c r="E417" i="1"/>
  <c r="F423" i="1"/>
  <c r="D430" i="1"/>
  <c r="E437" i="1"/>
  <c r="D445" i="1"/>
  <c r="D452" i="1"/>
  <c r="D492" i="1"/>
  <c r="F499" i="1"/>
  <c r="B9" i="1"/>
  <c r="B26" i="1"/>
  <c r="B43" i="1"/>
  <c r="B60" i="1"/>
  <c r="B77" i="1"/>
  <c r="B177" i="1"/>
  <c r="B186" i="1"/>
  <c r="B195" i="1"/>
  <c r="B204" i="1"/>
  <c r="B213" i="1"/>
  <c r="B222" i="1"/>
  <c r="B231" i="1"/>
  <c r="B250" i="1"/>
  <c r="B259" i="1"/>
  <c r="B268" i="1"/>
  <c r="B277" i="1"/>
  <c r="B286" i="1"/>
  <c r="B295" i="1"/>
  <c r="B377" i="1"/>
  <c r="B424" i="1"/>
  <c r="B453" i="1"/>
  <c r="B463" i="1"/>
  <c r="B482" i="1"/>
  <c r="B501" i="1"/>
  <c r="E8" i="1"/>
  <c r="F11" i="1"/>
  <c r="E21" i="1"/>
  <c r="D31" i="1"/>
  <c r="E34" i="1"/>
  <c r="F40" i="1"/>
  <c r="D47" i="1"/>
  <c r="E50" i="1"/>
  <c r="F53" i="1"/>
  <c r="F66" i="1"/>
  <c r="D73" i="1"/>
  <c r="E76" i="1"/>
  <c r="F79" i="1"/>
  <c r="D86" i="1"/>
  <c r="E92" i="1"/>
  <c r="F95" i="1"/>
  <c r="D99" i="1"/>
  <c r="E109" i="1"/>
  <c r="F112" i="1"/>
  <c r="E123" i="1"/>
  <c r="E139" i="1"/>
  <c r="D143" i="1"/>
  <c r="F150" i="1"/>
  <c r="D155" i="1"/>
  <c r="F162" i="1"/>
  <c r="E167" i="1"/>
  <c r="D171" i="1"/>
  <c r="F174" i="1"/>
  <c r="E179" i="1"/>
  <c r="F200" i="1"/>
  <c r="F205" i="1"/>
  <c r="E214" i="1"/>
  <c r="D228" i="1"/>
  <c r="F241" i="1"/>
  <c r="D261" i="1"/>
  <c r="F265" i="1"/>
  <c r="E280" i="1"/>
  <c r="F290" i="1"/>
  <c r="E301" i="1"/>
  <c r="D312" i="1"/>
  <c r="E333" i="1"/>
  <c r="F367" i="1"/>
  <c r="E380" i="1"/>
  <c r="F385" i="1"/>
  <c r="D398" i="1"/>
  <c r="E404" i="1"/>
  <c r="D424" i="1"/>
  <c r="F430" i="1"/>
  <c r="E445" i="1"/>
  <c r="D460" i="1"/>
  <c r="F475" i="1"/>
  <c r="D483" i="1"/>
  <c r="E492" i="1"/>
  <c r="D252" i="1"/>
  <c r="D265" i="1"/>
  <c r="D269" i="1"/>
  <c r="E282" i="1"/>
  <c r="D291" i="1"/>
  <c r="F295" i="1"/>
  <c r="D305" i="1"/>
  <c r="E309" i="1"/>
  <c r="D353" i="1"/>
  <c r="F357" i="1"/>
  <c r="D363" i="1"/>
  <c r="D382" i="1"/>
  <c r="F387" i="1"/>
  <c r="E397" i="1"/>
  <c r="D403" i="1"/>
  <c r="D419" i="1"/>
  <c r="E435" i="1"/>
  <c r="E440" i="1"/>
  <c r="F446" i="1"/>
  <c r="E459" i="1"/>
  <c r="F465" i="1"/>
  <c r="E478" i="1"/>
  <c r="E484" i="1"/>
  <c r="D498" i="1"/>
  <c r="F364" i="1"/>
  <c r="E369" i="1"/>
  <c r="E374" i="1"/>
  <c r="E384" i="1"/>
  <c r="D389" i="1"/>
  <c r="F393" i="1"/>
  <c r="E431" i="1"/>
  <c r="F442" i="1"/>
  <c r="E455" i="1"/>
  <c r="E468" i="1"/>
  <c r="E474" i="1"/>
  <c r="E487" i="1"/>
  <c r="D493" i="1"/>
  <c r="D500" i="1"/>
  <c r="B7" i="1"/>
  <c r="B15" i="1"/>
  <c r="B23" i="1"/>
  <c r="B31" i="1"/>
  <c r="B39" i="1"/>
  <c r="B47" i="1"/>
  <c r="B55" i="1"/>
  <c r="B63" i="1"/>
  <c r="B71" i="1"/>
  <c r="B79" i="1"/>
  <c r="B87" i="1"/>
  <c r="B113" i="1"/>
  <c r="B130" i="1"/>
  <c r="B147" i="1"/>
  <c r="B164" i="1"/>
  <c r="B181" i="1"/>
  <c r="B198" i="1"/>
  <c r="B215" i="1"/>
  <c r="B241" i="1"/>
  <c r="B258" i="1"/>
  <c r="B275" i="1"/>
  <c r="B292" i="1"/>
  <c r="B309" i="1"/>
  <c r="B326" i="1"/>
  <c r="B343" i="1"/>
  <c r="B369" i="1"/>
  <c r="B386" i="1"/>
  <c r="B403" i="1"/>
  <c r="B412" i="1"/>
  <c r="B421" i="1"/>
  <c r="F20" i="1"/>
  <c r="F23" i="1"/>
  <c r="F26" i="1"/>
  <c r="F29" i="1"/>
  <c r="F32" i="1"/>
  <c r="F35" i="1"/>
  <c r="F38" i="1"/>
  <c r="F41" i="1"/>
  <c r="D45" i="1"/>
  <c r="D48" i="1"/>
  <c r="D51" i="1"/>
  <c r="D54" i="1"/>
  <c r="D57" i="1"/>
  <c r="D60" i="1"/>
  <c r="D63" i="1"/>
  <c r="E87" i="1"/>
  <c r="D106" i="1"/>
  <c r="E112" i="1"/>
  <c r="D119" i="1"/>
  <c r="D137" i="1"/>
  <c r="F140" i="1"/>
  <c r="E148" i="1"/>
  <c r="D152" i="1"/>
  <c r="E159" i="1"/>
  <c r="F170" i="1"/>
  <c r="D178" i="1"/>
  <c r="E182" i="1"/>
  <c r="E186" i="1"/>
  <c r="D194" i="1"/>
  <c r="F198" i="1"/>
  <c r="D215" i="1"/>
  <c r="D220" i="1"/>
  <c r="E232" i="1"/>
  <c r="D237" i="1"/>
  <c r="E249" i="1"/>
  <c r="E266" i="1"/>
  <c r="F270" i="1"/>
  <c r="E275" i="1"/>
  <c r="F279" i="1"/>
  <c r="E288" i="1"/>
  <c r="E293" i="1"/>
  <c r="D298" i="1"/>
  <c r="E302" i="1"/>
  <c r="D350" i="1"/>
  <c r="F355" i="1"/>
  <c r="D360" i="1"/>
  <c r="D365" i="1"/>
  <c r="F384" i="1"/>
  <c r="F404" i="1"/>
  <c r="D410" i="1"/>
  <c r="F420" i="1"/>
  <c r="D426" i="1"/>
  <c r="F449" i="1"/>
  <c r="F455" i="1"/>
  <c r="F461" i="1"/>
  <c r="F468" i="1"/>
  <c r="F487" i="1"/>
  <c r="E493" i="1"/>
  <c r="D397" i="1"/>
  <c r="D413" i="1"/>
  <c r="F424" i="1"/>
  <c r="D429" i="1"/>
  <c r="D433" i="1"/>
  <c r="F474" i="1"/>
  <c r="D479" i="1"/>
  <c r="F132" i="1"/>
  <c r="F135" i="1"/>
  <c r="D154" i="1"/>
  <c r="D157" i="1"/>
  <c r="D160" i="1"/>
  <c r="D163" i="1"/>
  <c r="D166" i="1"/>
  <c r="D169" i="1"/>
  <c r="D172" i="1"/>
  <c r="D175" i="1"/>
  <c r="E178" i="1"/>
  <c r="F181" i="1"/>
  <c r="D188" i="1"/>
  <c r="E191" i="1"/>
  <c r="F194" i="1"/>
  <c r="D198" i="1"/>
  <c r="E201" i="1"/>
  <c r="E222" i="1"/>
  <c r="F225" i="1"/>
  <c r="F232" i="1"/>
  <c r="D236" i="1"/>
  <c r="F253" i="1"/>
  <c r="D257" i="1"/>
  <c r="E260" i="1"/>
  <c r="F263" i="1"/>
  <c r="E267" i="1"/>
  <c r="D278" i="1"/>
  <c r="D285" i="1"/>
  <c r="D289" i="1"/>
  <c r="F292" i="1"/>
  <c r="D311" i="1"/>
  <c r="F314" i="1"/>
  <c r="F326" i="1"/>
  <c r="E330" i="1"/>
  <c r="E350" i="1"/>
  <c r="F358" i="1"/>
  <c r="E362" i="1"/>
  <c r="E366" i="1"/>
  <c r="E378" i="1"/>
  <c r="E390" i="1"/>
  <c r="E394" i="1"/>
  <c r="E398" i="1"/>
  <c r="D402" i="1"/>
  <c r="E406" i="1"/>
  <c r="E410" i="1"/>
  <c r="E414" i="1"/>
  <c r="D418" i="1"/>
  <c r="E422" i="1"/>
  <c r="F438" i="1"/>
  <c r="E443" i="1"/>
  <c r="E447" i="1"/>
  <c r="F452" i="1"/>
  <c r="D457" i="1"/>
  <c r="E466" i="1"/>
  <c r="D481" i="1"/>
  <c r="D491" i="1"/>
  <c r="F495" i="1"/>
  <c r="E500" i="1"/>
  <c r="F129" i="1"/>
  <c r="D136" i="1"/>
  <c r="D139" i="1"/>
  <c r="D142" i="1"/>
  <c r="D145" i="1"/>
  <c r="D148" i="1"/>
  <c r="D151" i="1"/>
  <c r="E175" i="1"/>
  <c r="F178" i="1"/>
  <c r="D185" i="1"/>
  <c r="F191" i="1"/>
  <c r="F201" i="1"/>
  <c r="F208" i="1"/>
  <c r="D212" i="1"/>
  <c r="D219" i="1"/>
  <c r="D226" i="1"/>
  <c r="E243" i="1"/>
  <c r="F246" i="1"/>
  <c r="D271" i="1"/>
  <c r="F281" i="1"/>
  <c r="E285" i="1"/>
  <c r="E289" i="1"/>
  <c r="E296" i="1"/>
  <c r="E300" i="1"/>
  <c r="D304" i="1"/>
  <c r="F307" i="1"/>
  <c r="D315" i="1"/>
  <c r="D319" i="1"/>
  <c r="D323" i="1"/>
  <c r="D335" i="1"/>
  <c r="F338" i="1"/>
  <c r="F342" i="1"/>
  <c r="F346" i="1"/>
  <c r="F354" i="1"/>
  <c r="F370" i="1"/>
  <c r="F386" i="1"/>
  <c r="F394" i="1"/>
  <c r="F402" i="1"/>
  <c r="F422" i="1"/>
  <c r="E430" i="1"/>
  <c r="E434" i="1"/>
  <c r="E448" i="1"/>
  <c r="D476" i="1"/>
  <c r="D486" i="1"/>
  <c r="E491" i="1"/>
  <c r="E501" i="1"/>
  <c r="F102" i="1"/>
  <c r="F105" i="1"/>
  <c r="D130" i="1"/>
  <c r="E151" i="1"/>
  <c r="E154" i="1"/>
  <c r="E157" i="1"/>
  <c r="E160" i="1"/>
  <c r="E163" i="1"/>
  <c r="E166" i="1"/>
  <c r="E169" i="1"/>
  <c r="E172" i="1"/>
  <c r="D182" i="1"/>
  <c r="E188" i="1"/>
  <c r="D195" i="1"/>
  <c r="E198" i="1"/>
  <c r="F215" i="1"/>
  <c r="F222" i="1"/>
  <c r="F229" i="1"/>
  <c r="D233" i="1"/>
  <c r="E250" i="1"/>
  <c r="D254" i="1"/>
  <c r="E257" i="1"/>
  <c r="F260" i="1"/>
  <c r="E264" i="1"/>
  <c r="E278" i="1"/>
  <c r="D293" i="1"/>
  <c r="F296" i="1"/>
  <c r="F300" i="1"/>
  <c r="E311" i="1"/>
  <c r="E315" i="1"/>
  <c r="E323" i="1"/>
  <c r="D327" i="1"/>
  <c r="D339" i="1"/>
  <c r="D351" i="1"/>
  <c r="D359" i="1"/>
  <c r="D367" i="1"/>
  <c r="D375" i="1"/>
  <c r="F378" i="1"/>
  <c r="F398" i="1"/>
  <c r="F410" i="1"/>
  <c r="F414" i="1"/>
  <c r="F426" i="1"/>
  <c r="D439" i="1"/>
  <c r="F443" i="1"/>
  <c r="F448" i="1"/>
  <c r="D453" i="1"/>
  <c r="D458" i="1"/>
  <c r="F462" i="1"/>
  <c r="F466" i="1"/>
  <c r="D472" i="1"/>
  <c r="B88" i="1"/>
  <c r="B96" i="1"/>
  <c r="B104" i="1"/>
  <c r="B112" i="1"/>
  <c r="B120" i="1"/>
  <c r="B128" i="1"/>
  <c r="B136" i="1"/>
  <c r="B144" i="1"/>
  <c r="B152" i="1"/>
  <c r="B160" i="1"/>
  <c r="B168" i="1"/>
  <c r="B176" i="1"/>
  <c r="B184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4" i="1"/>
  <c r="B312" i="1"/>
  <c r="B320" i="1"/>
  <c r="B328" i="1"/>
  <c r="B336" i="1"/>
  <c r="B344" i="1"/>
  <c r="B352" i="1"/>
  <c r="B360" i="1"/>
  <c r="B368" i="1"/>
  <c r="B376" i="1"/>
  <c r="B384" i="1"/>
  <c r="B392" i="1"/>
  <c r="B400" i="1"/>
  <c r="B417" i="1"/>
  <c r="B434" i="1"/>
  <c r="B451" i="1"/>
  <c r="B468" i="1"/>
  <c r="B485" i="1"/>
  <c r="B494" i="1"/>
  <c r="D5" i="1"/>
  <c r="F10" i="1"/>
  <c r="E16" i="1"/>
  <c r="D22" i="1"/>
  <c r="F27" i="1"/>
  <c r="E33" i="1"/>
  <c r="D39" i="1"/>
  <c r="D42" i="1"/>
  <c r="F47" i="1"/>
  <c r="E53" i="1"/>
  <c r="D59" i="1"/>
  <c r="F64" i="1"/>
  <c r="E70" i="1"/>
  <c r="D76" i="1"/>
  <c r="F81" i="1"/>
  <c r="F84" i="1"/>
  <c r="E90" i="1"/>
  <c r="D96" i="1"/>
  <c r="F101" i="1"/>
  <c r="E107" i="1"/>
  <c r="D113" i="1"/>
  <c r="F118" i="1"/>
  <c r="E124" i="1"/>
  <c r="E127" i="1"/>
  <c r="D133" i="1"/>
  <c r="F138" i="1"/>
  <c r="E144" i="1"/>
  <c r="D150" i="1"/>
  <c r="F155" i="1"/>
  <c r="E161" i="1"/>
  <c r="D167" i="1"/>
  <c r="D170" i="1"/>
  <c r="F175" i="1"/>
  <c r="E181" i="1"/>
  <c r="D187" i="1"/>
  <c r="F192" i="1"/>
  <c r="D235" i="1"/>
  <c r="D238" i="1"/>
  <c r="D241" i="1"/>
  <c r="D244" i="1"/>
  <c r="D247" i="1"/>
  <c r="D250" i="1"/>
  <c r="D253" i="1"/>
  <c r="E259" i="1"/>
  <c r="E262" i="1"/>
  <c r="E265" i="1"/>
  <c r="E268" i="1"/>
  <c r="E271" i="1"/>
  <c r="E274" i="1"/>
  <c r="D284" i="1"/>
  <c r="E290" i="1"/>
  <c r="D300" i="1"/>
  <c r="E303" i="1"/>
  <c r="F306" i="1"/>
  <c r="D310" i="1"/>
  <c r="E316" i="1"/>
  <c r="F322" i="1"/>
  <c r="E329" i="1"/>
  <c r="F335" i="1"/>
  <c r="E345" i="1"/>
  <c r="F348" i="1"/>
  <c r="E355" i="1"/>
  <c r="F361" i="1"/>
  <c r="D368" i="1"/>
  <c r="F374" i="1"/>
  <c r="D381" i="1"/>
  <c r="F390" i="1"/>
  <c r="E400" i="1"/>
  <c r="D407" i="1"/>
  <c r="E413" i="1"/>
  <c r="F416" i="1"/>
  <c r="D420" i="1"/>
  <c r="E426" i="1"/>
  <c r="D436" i="1"/>
  <c r="F445" i="1"/>
  <c r="D449" i="1"/>
  <c r="E452" i="1"/>
  <c r="F458" i="1"/>
  <c r="D462" i="1"/>
  <c r="E465" i="1"/>
  <c r="F471" i="1"/>
  <c r="E481" i="1"/>
  <c r="F491" i="1"/>
  <c r="D495" i="1"/>
  <c r="E498" i="1"/>
  <c r="D180" i="1"/>
  <c r="F185" i="1"/>
  <c r="F188" i="1"/>
  <c r="E194" i="1"/>
  <c r="E200" i="1"/>
  <c r="E203" i="1"/>
  <c r="E206" i="1"/>
  <c r="E209" i="1"/>
  <c r="E212" i="1"/>
  <c r="E215" i="1"/>
  <c r="E218" i="1"/>
  <c r="F233" i="1"/>
  <c r="F236" i="1"/>
  <c r="F239" i="1"/>
  <c r="D267" i="1"/>
  <c r="D270" i="1"/>
  <c r="D273" i="1"/>
  <c r="D276" i="1"/>
  <c r="E279" i="1"/>
  <c r="F285" i="1"/>
  <c r="E292" i="1"/>
  <c r="F298" i="1"/>
  <c r="D302" i="1"/>
  <c r="E308" i="1"/>
  <c r="F311" i="1"/>
  <c r="E321" i="1"/>
  <c r="D331" i="1"/>
  <c r="F337" i="1"/>
  <c r="D344" i="1"/>
  <c r="E347" i="1"/>
  <c r="F353" i="1"/>
  <c r="F366" i="1"/>
  <c r="D373" i="1"/>
  <c r="E376" i="1"/>
  <c r="F379" i="1"/>
  <c r="D383" i="1"/>
  <c r="E389" i="1"/>
  <c r="F392" i="1"/>
  <c r="D399" i="1"/>
  <c r="D412" i="1"/>
  <c r="E418" i="1"/>
  <c r="D425" i="1"/>
  <c r="E428" i="1"/>
  <c r="F434" i="1"/>
  <c r="D438" i="1"/>
  <c r="E444" i="1"/>
  <c r="F450" i="1"/>
  <c r="E457" i="1"/>
  <c r="F463" i="1"/>
  <c r="D480" i="1"/>
  <c r="E483" i="1"/>
  <c r="F486" i="1"/>
  <c r="D490" i="1"/>
  <c r="F493" i="1"/>
  <c r="E318" i="1"/>
  <c r="D328" i="1"/>
  <c r="E331" i="1"/>
  <c r="F334" i="1"/>
  <c r="D341" i="1"/>
  <c r="F350" i="1"/>
  <c r="E360" i="1"/>
  <c r="F363" i="1"/>
  <c r="D370" i="1"/>
  <c r="E373" i="1"/>
  <c r="F376" i="1"/>
  <c r="D380" i="1"/>
  <c r="E386" i="1"/>
  <c r="D396" i="1"/>
  <c r="E402" i="1"/>
  <c r="F405" i="1"/>
  <c r="D409" i="1"/>
  <c r="E415" i="1"/>
  <c r="D422" i="1"/>
  <c r="F431" i="1"/>
  <c r="E441" i="1"/>
  <c r="F447" i="1"/>
  <c r="D451" i="1"/>
  <c r="E454" i="1"/>
  <c r="F460" i="1"/>
  <c r="D467" i="1"/>
  <c r="D477" i="1"/>
  <c r="D494" i="1"/>
  <c r="E497" i="1"/>
  <c r="F500" i="1"/>
  <c r="D435" i="1"/>
  <c r="E438" i="1"/>
  <c r="F444" i="1"/>
  <c r="E451" i="1"/>
  <c r="F457" i="1"/>
  <c r="D464" i="1"/>
  <c r="F470" i="1"/>
  <c r="D474" i="1"/>
  <c r="E480" i="1"/>
  <c r="F483" i="1"/>
  <c r="D487" i="1"/>
  <c r="D501" i="1"/>
  <c r="F441" i="1"/>
  <c r="F454" i="1"/>
  <c r="D461" i="1"/>
  <c r="E464" i="1"/>
  <c r="F467" i="1"/>
  <c r="D471" i="1"/>
  <c r="E477" i="1"/>
  <c r="F480" i="1"/>
  <c r="E494" i="1"/>
  <c r="F497" i="1"/>
  <c r="E199" i="1"/>
  <c r="D205" i="1"/>
  <c r="F213" i="1"/>
  <c r="E219" i="1"/>
  <c r="D225" i="1"/>
  <c r="F230" i="1"/>
  <c r="E236" i="1"/>
  <c r="D242" i="1"/>
  <c r="F247" i="1"/>
  <c r="E256" i="1"/>
  <c r="D262" i="1"/>
  <c r="F267" i="1"/>
  <c r="E273" i="1"/>
  <c r="E291" i="1"/>
  <c r="E294" i="1"/>
  <c r="F312" i="1"/>
  <c r="F315" i="1"/>
  <c r="F318" i="1"/>
  <c r="F321" i="1"/>
  <c r="F324" i="1"/>
  <c r="F327" i="1"/>
  <c r="F330" i="1"/>
  <c r="F333" i="1"/>
  <c r="D343" i="1"/>
  <c r="D346" i="1"/>
  <c r="D349" i="1"/>
  <c r="D352" i="1"/>
  <c r="D355" i="1"/>
  <c r="E379" i="1"/>
  <c r="E382" i="1"/>
  <c r="E385" i="1"/>
  <c r="F400" i="1"/>
  <c r="F403" i="1"/>
  <c r="F406" i="1"/>
  <c r="F409" i="1"/>
  <c r="F412" i="1"/>
  <c r="F415" i="1"/>
  <c r="F418" i="1"/>
  <c r="F421" i="1"/>
  <c r="D434" i="1"/>
  <c r="D437" i="1"/>
  <c r="D440" i="1"/>
  <c r="D443" i="1"/>
  <c r="E467" i="1"/>
  <c r="E470" i="1"/>
  <c r="E473" i="1"/>
  <c r="E476" i="1"/>
  <c r="F485" i="1"/>
  <c r="D489" i="1"/>
  <c r="E495" i="1"/>
  <c r="E197" i="1"/>
  <c r="D200" i="1"/>
  <c r="F202" i="1"/>
  <c r="E205" i="1"/>
  <c r="D208" i="1"/>
  <c r="F210" i="1"/>
  <c r="E213" i="1"/>
  <c r="D216" i="1"/>
  <c r="F218" i="1"/>
  <c r="E221" i="1"/>
  <c r="D224" i="1"/>
  <c r="F226" i="1"/>
  <c r="E229" i="1"/>
  <c r="D232" i="1"/>
  <c r="F234" i="1"/>
  <c r="E237" i="1"/>
  <c r="D240" i="1"/>
  <c r="F242" i="1"/>
  <c r="E245" i="1"/>
  <c r="D248" i="1"/>
  <c r="F250" i="1"/>
  <c r="E253" i="1"/>
  <c r="D256" i="1"/>
  <c r="F258" i="1"/>
  <c r="E261" i="1"/>
  <c r="D264" i="1"/>
  <c r="F266" i="1"/>
  <c r="E269" i="1"/>
  <c r="D272" i="1"/>
  <c r="F274" i="1"/>
  <c r="E277" i="1"/>
  <c r="D283" i="1"/>
  <c r="D286" i="1"/>
  <c r="F291" i="1"/>
  <c r="E297" i="1"/>
  <c r="D303" i="1"/>
  <c r="F308" i="1"/>
  <c r="E314" i="1"/>
  <c r="D320" i="1"/>
  <c r="F325" i="1"/>
  <c r="F328" i="1"/>
  <c r="E334" i="1"/>
  <c r="D340" i="1"/>
  <c r="F345" i="1"/>
  <c r="E351" i="1"/>
  <c r="D357" i="1"/>
  <c r="F362" i="1"/>
  <c r="E368" i="1"/>
  <c r="E371" i="1"/>
  <c r="D377" i="1"/>
  <c r="F382" i="1"/>
  <c r="E388" i="1"/>
  <c r="D394" i="1"/>
  <c r="F399" i="1"/>
  <c r="E405" i="1"/>
  <c r="D411" i="1"/>
  <c r="D414" i="1"/>
  <c r="F419" i="1"/>
  <c r="E425" i="1"/>
  <c r="D431" i="1"/>
  <c r="F436" i="1"/>
  <c r="E442" i="1"/>
  <c r="D448" i="1"/>
  <c r="F453" i="1"/>
  <c r="F456" i="1"/>
  <c r="E462" i="1"/>
  <c r="D468" i="1"/>
  <c r="F473" i="1"/>
  <c r="E479" i="1"/>
  <c r="D485" i="1"/>
  <c r="F490" i="1"/>
  <c r="E496" i="1"/>
  <c r="E499" i="1"/>
  <c r="F484" i="1"/>
  <c r="E490" i="1"/>
  <c r="D496" i="1"/>
  <c r="F5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1D91139F-9D95-429C-83F1-295C5D20C62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Timestamp="1774625382"&gt;&lt;FQL&gt;&lt;Q&gt;ZTS^FE_ESTIMATE(EPS,MEAN,QTR_ROLL,-0,0,,,'')&lt;/Q&gt;&lt;R&gt;1&lt;/R&gt;&lt;C&gt;1&lt;/C&gt;&lt;D xsi:type="xsd:double"&gt;1.48&lt;/D&gt;&lt;/FQL&gt;&lt;FQL&gt;&lt;Q&gt;XYL^JULIAN(FF_EPS(QTR_R,0).DATES)&lt;/Q&gt;&lt;R&gt;1&lt;/R&gt;&lt;C&gt;1&lt;/C&gt;&lt;D xsi:type="xsd:long"&gt;46022&lt;/D&gt;&lt;/FQL&gt;&lt;FQL&gt;&lt;Q&gt;WST^FF_EPS(QTR_R,0)&lt;/Q&gt;&lt;R&gt;1&lt;/R&gt;&lt;C&gt;1&lt;/C&gt;&lt;D xsi:type="xsd:double"&gt;1.8171&lt;/D&gt;&lt;/FQL&gt;&lt;FQL&gt;&lt;Q&gt;WELL^FE_ESTIMATE(EPS,MEAN,QTR_ROLL,-0,0,,,'')&lt;/Q&gt;&lt;R&gt;1&lt;/R&gt;&lt;C&gt;1&lt;/C&gt;&lt;D xsi:type="xsd:double"&gt;0.14&lt;/D&gt;&lt;/FQL&gt;&lt;FQL&gt;&lt;Q&gt;ZBRA^FF_EPS(QTR_R,0)&lt;/Q&gt;&lt;R&gt;1&lt;/R&gt;&lt;C&gt;1&lt;/C&gt;&lt;D xsi:type="xsd:double"&gt;1.382&lt;/D&gt;&lt;/FQL&gt;&lt;FQL&gt;&lt;Q&gt;XYL^FF_EPS(QTR_R,0)&lt;/Q&gt;&lt;R&gt;1&lt;/R&gt;&lt;C&gt;1&lt;/C&gt;&lt;D xsi:type="xsd:double"&gt;1.3753&lt;/D&gt;&lt;/FQL&gt;&lt;FQL&gt;&lt;Q&gt;WST^FE_ESTIMATE(EPS,MEAN,QTR_ROLL,-0,0,,,'')&lt;/Q&gt;&lt;R&gt;1&lt;/R&gt;&lt;C&gt;1&lt;/C&gt;&lt;D xsi:type="xsd:double"&gt;2.04&lt;/D&gt;&lt;/FQL&gt;&lt;FQL&gt;&lt;Q&gt;WFC^JULIAN(FF_EPS(QTR_R,0).DATES)&lt;/Q&gt;&lt;R&gt;1&lt;/R&gt;&lt;C&gt;1&lt;/C&gt;&lt;D xsi:type="xsd:long"&gt;46022&lt;/D&gt;&lt;/FQL&gt;&lt;FQL&gt;&lt;Q&gt;WAT^FF_EPS(QTR_R,0)&lt;/Q&gt;&lt;R&gt;1&lt;/R&gt;&lt;C&gt;1&lt;/C&gt;&lt;D xsi:type="xsd:double"&gt;3.7684&lt;/D&gt;&lt;/FQL&gt;&lt;FQL&gt;&lt;Q&gt;VRTX^FE_ESTIMATE(EPS,MEAN,QTR_ROLL,-0,0,,,'')&lt;/Q&gt;&lt;R&gt;1&lt;/R&gt;&lt;C&gt;1&lt;/C&gt;&lt;D xsi:type="xsd:double"&gt;5.03&lt;/D&gt;&lt;/FQL&gt;&lt;FQL&gt;&lt;Q&gt;VLO^JULIAN(FF_EPS(QTR_R,0).DATES)&lt;/Q&gt;&lt;R&gt;1&lt;/R&gt;&lt;C&gt;1&lt;/C&gt;&lt;D xsi:type="xsd:long"&gt;46022&lt;/D&gt;&lt;/FQL&gt;&lt;FQL&gt;&lt;Q&gt;UNP^FF_EPS(QTR_R,0)&lt;/Q&gt;&lt;R&gt;1&lt;/R&gt;&lt;C&gt;1&lt;/C&gt;&lt;D xsi:type="xsd:double"&gt;3.1137&lt;/D&gt;&lt;/FQL&gt;&lt;FQL&gt;&lt;Q&gt;UAL^FE_ESTIMATE(EPS,MEAN,QTR_ROLL,-0,0,,,'')&lt;/Q&gt;&lt;R&gt;1&lt;/R&gt;&lt;C&gt;1&lt;/C&gt;&lt;D xsi:type="xsd:double"&gt;3.1&lt;/D&gt;&lt;/FQL&gt;&lt;FQL&gt;&lt;Q&gt;TXN^FE_ESTIMATE(EPS,MEAN,QTR_ROLL,-0,0,,,'')&lt;/Q&gt;&lt;R&gt;1&lt;/R&gt;&lt;C&gt;1&lt;/C&gt;&lt;D xsi:type="xsd:double"&gt;1.27&lt;/D&gt;&lt;/FQL&gt;&lt;FQL&gt;&lt;Q&gt;TSCO^JULIAN(FF_EPS(QTR_R,0).DATES)&lt;/Q&gt;&lt;R&gt;1&lt;/R&gt;&lt;C&gt;1&lt;/C&gt;&lt;D xsi:type="xsd:long"&gt;46022&lt;/D&gt;&lt;/FQL&gt;&lt;FQL&gt;&lt;Q&gt;TMUS^FF_EPS(QTR_R,0)&lt;/Q&gt;&lt;R&gt;1&lt;/R&gt;&lt;C&gt;1&lt;/C&gt;&lt;D xsi:type="xsd:double"&gt;1.8821&lt;/D&gt;&lt;/FQL&gt;&lt;FQL&gt;&lt;Q&gt;TER^FE_ESTIMATE(EPS,MEAN,QTR_ROLL,-0,0,,,'')&lt;/Q&gt;&lt;R&gt;1&lt;/R&gt;&lt;C&gt;1&lt;/C&gt;&lt;D xsi:type="xsd:double"&gt;1.8&lt;/D&gt;&lt;/FQL&gt;&lt;FQL&gt;&lt;Q&gt;TAP^JULIAN(FF_EPS(QTR_R,0).DATES)&lt;/Q&gt;&lt;R&gt;1&lt;/R&gt;&lt;C&gt;1&lt;/C&gt;&lt;D xsi:type="xsd:long"&gt;46022&lt;/D&gt;&lt;/FQL&gt;&lt;FQL&gt;&lt;Q&gt;SWK^FF_EPS(QTR_R,0)&lt;/Q&gt;&lt;R&gt;1&lt;/R&gt;&lt;C&gt;1&lt;/C&gt;&lt;D xsi:type="xsd:double"&gt;1.0398&lt;/D&gt;&lt;/FQL&gt;&lt;FQL&gt;&lt;Q&gt;SRE^FE_ESTIMATE(EPS,MEAN,QTR_ROLL,-0,0,,,'')&lt;/Q&gt;&lt;R&gt;1&lt;/R&gt;&lt;C&gt;1&lt;/C&gt;&lt;D xsi:type="xsd:double"&gt;1.28&lt;/D&gt;&lt;/FQL&gt;&lt;FQL&gt;&lt;Q&gt;SNA^JULIAN(FF_EPS(QTR_R,0).DATES)&lt;/Q&gt;&lt;R&gt;1&lt;/R&gt;&lt;C&gt;1&lt;/C&gt;&lt;D xsi:type="xsd:long"&gt;46022&lt;/D&gt;&lt;/FQL&gt;&lt;FQL&gt;&lt;Q&gt;SJM^JULIAN(FF_EPS(QTR_R,0).DATES)&lt;/Q&gt;&lt;R&gt;1&lt;/R&gt;&lt;C&gt;1&lt;/C&gt;&lt;D xsi:type="xsd:long"&gt;46052&lt;/D&gt;&lt;/FQL&gt;&lt;FQL&gt;&lt;Q&gt;RVTY^FF_EPS(QTR_R,0)&lt;/Q&gt;&lt;R&gt;1&lt;/R&gt;&lt;C&gt;1&lt;/C&gt;&lt;D xsi:type="xsd:double"&gt;0.8708&lt;/D&gt;&lt;/FQL&gt;&lt;FQL&gt;&lt;Q&gt;ROK^FE_ESTIMATE(EPS,MEAN,QTR_ROLL,-0,0,,,'')&lt;/Q&gt;&lt;R&gt;1&lt;/R&gt;&lt;C&gt;1&lt;/C&gt;&lt;D xsi:type="xsd:double"&gt;2.75&lt;/D&gt;&lt;/FQL&gt;&lt;FQL&gt;&lt;Q&gt;REGN^JULIAN(FF_EPS(QTR_R,0).DATES)&lt;/Q&gt;&lt;R&gt;1&lt;/R&gt;&lt;C&gt;1&lt;/C&gt;&lt;D xsi:type="xsd:long"&gt;46022&lt;/D&gt;&lt;/FQL&gt;&lt;FQL&gt;&lt;Q&gt;PYPL^FF_EPS(QTR_R,0)&lt;/Q&gt;&lt;R&gt;1&lt;/R&gt;&lt;C&gt;1&lt;/C&gt;&lt;D xsi:type="xsd:double"&gt;1.5304&lt;/D&gt;&lt;/FQL&gt;&lt;FQL&gt;&lt;Q&gt;PSA^FE_ESTIMATE(EPS,MEAN,QTR_ROLL,-0,0,,,'')&lt;/Q&gt;&lt;R&gt;1&lt;/R&gt;&lt;C&gt;1&lt;/C&gt;&lt;D xsi:type="xsd:double"&gt;2.6&lt;/D&gt;&lt;/FQL&gt;&lt;FQL&gt;&lt;Q&gt;PODD^JULIAN(FF_EPS(QTR_R,0).DATES)&lt;/Q&gt;&lt;R&gt;1&lt;/R&gt;&lt;C&gt;1&lt;/C&gt;&lt;D xsi:type="xsd:long"&gt;46022&lt;/D&gt;&lt;/FQL&gt;&lt;FQL&gt;&lt;Q&gt;PLD^FF_EPS(QTR_R,0)&lt;/Q&gt;&lt;R&gt;1&lt;/R&gt;&lt;C&gt;1&lt;/C&gt;&lt;D xsi:type="xsd:double"&gt;1.4946&lt;/D&gt;&lt;/FQL&gt;&lt;FQL&gt;&lt;Q&gt;PH^FF_EPS(QTR_R,0)&lt;/Q&gt;&lt;R&gt;1&lt;/R&gt;&lt;C&gt;1&lt;/C&gt;&lt;D xsi:type="xsd:double"&gt;6.5964&lt;/D&gt;&lt;/FQL&gt;&lt;FQL&gt;&lt;Q&gt;PEG^FE_ESTIMATE(EPS,MEAN,QTR_ROLL,-0,0,,,'')&lt;/Q&gt;&lt;R&gt;1&lt;/R&gt;&lt;C&gt;1&lt;/C&gt;&lt;D xsi:type="xsd:double"&gt;0.72&lt;/D&gt;&lt;/FQL&gt;&lt;FQL&gt;&lt;Q&gt;PAYC^JULIAN(FF_EPS(QTR_R,0).DATES)&lt;/Q&gt;&lt;R&gt;1&lt;/R&gt;&lt;C&gt;1&lt;/C&gt;&lt;D xsi:type="xsd:long"&gt;46022&lt;/D&gt;&lt;/FQL&gt;&lt;FQL&gt;&lt;Q&gt;ON^FF_EPS(QTR_R,0)&lt;/Q&gt;&lt;R&gt;1&lt;/R&gt;&lt;C&gt;1&lt;/C&gt;&lt;D xsi:type="xsd:double"&gt;0.4519&lt;/D&gt;&lt;/FQL&gt;&lt;FQL&gt;&lt;Q&gt;NWSA^FE_ESTIMATE(EPS,MEAN,QTR_ROLL,-0,0,,,'')&lt;/Q&gt;&lt;R&gt;1&lt;/R&gt;&lt;C&gt;1&lt;/C&gt;&lt;D xsi:type="xsd:double"&gt;0.4&lt;/D&gt;&lt;/FQL&gt;&lt;FQL&gt;&lt;Q&gt;NTRS^JULIAN(FF_EPS(QTR_R,0).DATES)&lt;/Q&gt;&lt;R&gt;1&lt;/R&gt;&lt;C&gt;1&lt;/C&gt;&lt;D xsi:type="xsd:long"&gt;46022&lt;/D&gt;&lt;/FQL&gt;&lt;FQL&gt;&lt;Q&gt;NKE^FF_EPS(QTR_R,0)&lt;/Q&gt;&lt;R&gt;1&lt;/R&gt;&lt;C&gt;1&lt;/C&gt;&lt;D xsi:type="xsd:double"&gt;0.5348&lt;/D&gt;&lt;/FQL&gt;&lt;FQL&gt;&lt;Q&gt;NDAQ^FE_ESTIMATE(EPS,MEAN,QTR_ROLL,-0,0,,,'')&lt;/Q&gt;&lt;R&gt;1&lt;/R&gt;&lt;C&gt;1&lt;/C&gt;&lt;D xsi:type="xsd:double"&gt;0.96&lt;/D&gt;&lt;/FQL&gt;&lt;FQL&gt;&lt;Q&gt;MTD^FE_ESTIMATE(EPS,MEAN,QTR_ROLL,-0,0,,,'')&lt;/Q&gt;&lt;R&gt;1&lt;/R&gt;&lt;C&gt;1&lt;/C&gt;&lt;D xsi:type="xsd:double"&gt;13.36&lt;/D&gt;&lt;/FQL&gt;&lt;FQL&gt;&lt;Q&gt;MSCI^JULIAN(FF_EPS(QTR_R,0).DATES)&lt;/Q&gt;&lt;R&gt;1&lt;/R&gt;&lt;C&gt;1&lt;/C&gt;&lt;D xsi:type="xsd:long"&gt;46022&lt;/D&gt;&lt;/FQL&gt;&lt;FQL&gt;&lt;Q&gt;MPC^FF_EPS(QTR_R,0)&lt;/Q&gt;&lt;R&gt;1&lt;/R&gt;&lt;C&gt;1&lt;/C&gt;&lt;D xsi:type="xsd:double"&gt;5.1133&lt;/D&gt;&lt;/FQL&gt;&lt;FQL&gt;&lt;Q&gt;MMC^FE_ESTIMATE(EPS,MEAN,QTR_ROLL,-0,0,,,'')&lt;/Q&gt;&lt;R&gt;1&lt;/R&gt;&lt;C&gt;1&lt;/C&gt;&lt;D xsi:type="xsd:double"&gt;2.12&lt;/D&gt;&lt;/FQL&gt;&lt;FQL&gt;&lt;Q&gt;MGM^JULIAN(FF_EPS(QTR_R,0).DATES)&lt;/Q&gt;&lt;R&gt;1&lt;/R&gt;&lt;C&gt;1&lt;/C&gt;&lt;D xsi:type="xsd:long"&gt;46022&lt;/D&gt;&lt;/FQL&gt;&lt;FQL&gt;&lt;Q&gt;MCK^FF_EPS(QTR_R,0)&lt;/Q&gt;&lt;R&gt;1&lt;/R&gt;&lt;C&gt;1&lt;/C&gt;&lt;D xsi:type="xsd:double"&gt;9.5877&lt;/D&gt;&lt;/FQL&gt;&lt;FQL&gt;&lt;Q&gt;MA^FE_ESTIMATE(EPS,MEAN,QTR_ROLL,-0,0,,,'')&lt;/Q&gt;&lt;R&gt;1&lt;/R&gt;&lt;C&gt;1&lt;/C&gt;&lt;D xsi:type="xsd:double"&gt;4.76&lt;/D&gt;&lt;/FQL&gt;&lt;FQL&gt;&lt;Q&gt;LUV^JULIAN(FF_EPS(QTR_R,0).DATES)&lt;/Q&gt;&lt;R&gt;1&lt;/R&gt;&lt;C&gt;1&lt;/C&gt;&lt;D xsi:type="xsd:long"&gt;46022&lt;/D&gt;&lt;/FQL&gt;&lt;FQL&gt;&lt;Q&gt;LOW^JULIAN(FF_EPS(QTR_R,0).DATES)&lt;/Q&gt;&lt;R&gt;1&lt;/R&gt;&lt;C&gt;1&lt;/C&gt;&lt;D xsi:type="xsd:long"&gt;46052&lt;/D&gt;&lt;/FQL&gt;&lt;FQL&gt;&lt;Q&gt;LHX^FF_EPS(QTR_R,0)&lt;/Q&gt;&lt;R&gt;1&lt;/R&gt;&lt;C&gt;1&lt;/C&gt;&lt;D xsi:type="xsd:double"&gt;1.594&lt;/D&gt;&lt;/FQL&gt;&lt;FQL&gt;&lt;Q&gt;LDOS^FE_ESTIMATE(EPS,MEAN,QTR_ROLL,-0,0,,,'')&lt;/Q&gt;&lt;R&gt;1&lt;/R&gt;&lt;C&gt;1&lt;/C&gt;&lt;D xsi:type="xsd:double"&gt;2.76&lt;/D&gt;&lt;/FQL&gt;&lt;FQL&gt;&lt;Q&gt;KVUE^JULIAN(FF_EPS(QTR_R,0).DATES)&lt;/Q&gt;&lt;R&gt;1&lt;/R&gt;&lt;C&gt;1&lt;/C&gt;&lt;D xsi:type="xsd:long"&gt;46022&lt;/D&gt;&lt;/FQL&gt;&lt;FQL&gt;&lt;Q&gt;KMX^FF_EPS(QTR_R,0)&lt;/Q&gt;&lt;R&gt;1&lt;/R&gt;&lt;C&gt;1&lt;/C&gt;&lt;D xsi:type="xsd:double"&gt;0.4265&lt;/D&gt;&lt;/FQL&gt;&lt;FQL&gt;&lt;Q&gt;KLAC^FE_ESTIMATE(EPS,MEAN,QTR_ROLL,-0,0,,,'')&lt;/Q&gt;&lt;R&gt;1&lt;/R&gt;&lt;C&gt;1&lt;/C&gt;&lt;D xsi:type="xsd:double"&gt;8.85&lt;/D&gt;&lt;/FQL&gt;&lt;FQL&gt;&lt;Q&gt;KHC^JULIAN(FF_EPS(QTR_R,0).DATES)&lt;/Q&gt;&lt;R&gt;1&lt;/R&gt;&lt;C&gt;1&lt;/C&gt;&lt;D xsi:type="xsd:long"&gt;46022&lt;/D&gt;&lt;/FQL&gt;&lt;FQL&gt;&lt;Q&gt;KDP^FF_EPS(QTR_R,0)&lt;/Q&gt;&lt;R&gt;1&lt;/R&gt;&lt;C&gt;1&lt;/C&gt;&lt;D xsi:type="xsd:double"&gt;0.259&lt;/D&gt;&lt;/FQL&gt;&lt;FQL&gt;&lt;Q&gt;JNPR^FE_ESTIMATE(EPS,MEAN,QTR_ROLL,-0,0,,,'')&lt;/Q&gt;&lt;R&gt;0&lt;/R&gt;&lt;C&gt;0&lt;/C&gt;&lt;/FQL&gt;&lt;FQL&gt;&lt;Q&gt;JKHY^JULIAN(FF_EPS(QTR_R,0).DATES)&lt;/Q&gt;&lt;R&gt;1&lt;/R&gt;&lt;C&gt;1&lt;/C&gt;&lt;D xsi:type="xsd:long"&gt;46022&lt;/D&gt;&lt;/FQL&gt;&lt;FQL&gt;&lt;Q&gt;JBHT^FF_EPS(QTR_R,0)&lt;/Q&gt;&lt;R&gt;1&lt;/R&gt;&lt;C&gt;1&lt;/C&gt;&lt;D xsi:type="xsd:double"&gt;1.8959&lt;/D&gt;&lt;/FQL&gt;&lt;FQL&gt;&lt;Q&gt;ITW^FE_ESTIMATE(EPS,MEAN,QTR_ROLL,-0,0,,,'')&lt;/Q&gt;&lt;R&gt;1&lt;/R&gt;&lt;C&gt;1&lt;/C&gt;&lt;D xsi:type="xsd:double"&gt;2.72&lt;/D&gt;&lt;/FQL&gt;&lt;FQL&gt;&lt;Q&gt;ISRG^JULIAN(FF_EPS(QTR_R,0).DATES)&lt;/Q&gt;&lt;R&gt;1&lt;/R&gt;&lt;C&gt;1&lt;/C&gt;&lt;D xsi:type="xsd:long"&gt;46022&lt;/D&gt;&lt;/FQL&gt;&lt;FQL&gt;&lt;Q&gt;IQV^FF_EPS(QTR_R,0)&lt;/Q&gt;&lt;R&gt;1&lt;/R&gt;&lt;C&gt;1&lt;/C&gt;&lt;D xsi:type="xsd:double"&gt;2.9901&lt;/D&gt;&lt;/FQL&gt;&lt;FQL&gt;&lt;Q&gt;INVH^FE_ESTIMATE(EPS,MEAN,QTR_ROLL,-0,0,,,'')&lt;/Q&gt;&lt;R&gt;1&lt;/R&gt;&lt;C&gt;1&lt;/C&gt;&lt;D xsi:type="xsd:double"&gt;0.24&lt;/D&gt;&lt;/FQL&gt;&lt;FQL&gt;&lt;Q&gt;INTC^JULIAN(FF_EPS(QTR_R,0).DATES)&lt;/Q&gt;&lt;R&gt;1&lt;/R&gt;&lt;C&gt;1&lt;/C&gt;&lt;D xsi:type="xsd:long"&gt;46022&lt;/D&gt;&lt;/FQL&gt;&lt;FQL&gt;&lt;Q&gt;IFF^FF_EPS(QTR_R,0)&lt;/Q&gt;&lt;R&gt;1&lt;/R&gt;&lt;C&gt;1&lt;/C&gt;&lt;D xsi:type="xsd:double"&gt;0.07&lt;/D&gt;&lt;/FQL&gt;&lt;FQL&gt;&lt;Q&gt;ICE^FE_ESTIMATE(EPS,MEAN,QTR_ROLL,-0,0,,,'')&lt;/Q&gt;&lt;R&gt;1&lt;/R&gt;&lt;C&gt;1&lt;/C&gt;&lt;D xsi:type="xsd:double"&gt;1.71&lt;/D&gt;&lt;/FQL&gt;&lt;FQL&gt;&lt;Q&gt;HWM^JULIAN(FF_EPS(QTR_R,0).DATES)&lt;/Q&gt;&lt;R&gt;1&lt;/R&gt;&lt;C&gt;1&lt;/C&gt;&lt;D xsi:type="xsd:long"&gt;46022&lt;/D&gt;&lt;/FQL&gt;&lt;FQL&gt;&lt;Q&gt;HSY^FF_EPS(QTR_R,0)&lt;/Q&gt;&lt;R&gt;1&lt;/R&gt;&lt;C&gt;1&lt;/C&gt;&lt;D xsi:type="xsd:double"&gt;1.575&lt;/D&gt;&lt;/FQL&gt;&lt;FQL&gt;&lt;Q&gt;HRL^FE_ESTIMATE(EPS,MEAN,QTR_ROLL,-0,0,,,'')&lt;/Q&gt;&lt;R&gt;1&lt;/R&gt;&lt;C&gt;1&lt;/C&gt;&lt;D xsi:type="xsd:double"&gt;0.34&lt;/D&gt;&lt;/FQL&gt;&lt;FQL&gt;&lt;Q&gt;HPE^JULIAN(FF_EPS(QTR_R,0).DATES)&lt;/Q&gt;&lt;R&gt;1&lt;/R&gt;&lt;C&gt;1&lt;/C&gt;&lt;D xsi:type="xsd:long"&gt;46052&lt;/D&gt;&lt;/FQL&gt;&lt;FQL&gt;&lt;Q&gt;HD^FF_EPS(QTR_R,0)&lt;/Q&gt;&lt;R&gt;1&lt;/R&gt;&lt;C&gt;1&lt;/C&gt;&lt;D xsi:type="xsd:double"&gt;2.5839&lt;/D&gt;&lt;/FQL&gt;&lt;FQL&gt;&lt;Q&gt;HAS^FE_ESTIMATE(EPS,MEAN,QTR_ROLL,-0,0,,,'')&lt;/Q&gt;&lt;R&gt;1&lt;/R&gt;&lt;C&gt;1&lt;/C&gt;&lt;D xsi:type="xsd:double"&gt;1.51&lt;/D&gt;&lt;/FQL&gt;&lt;FQL&gt;&lt;Q&gt;GWW^JULIAN(FF_EPS(QTR_R,0).DATES)&lt;/Q&gt;&lt;R&gt;1&lt;/R&gt;&lt;C&gt;1&lt;/C&gt;&lt;D xsi:type="xsd:long"&gt;46022&lt;/D&gt;&lt;/FQL&gt;&lt;FQL&gt;&lt;Q&gt;GPN^FF_EPS(QTR_R,0)&lt;/Q&gt;&lt;R&gt;1&lt;/R&gt;&lt;C&gt;1&lt;/C&gt;&lt;D xsi:type="xsd:double"&gt;0.8988&lt;/D&gt;&lt;/FQL&gt;&lt;FQL&gt;&lt;Q&gt;GOOG^FE_ESTIMATE(EPS,MEAN,QTR_ROLL,-0,0,,,'')&lt;/Q&gt;&lt;R&gt;1&lt;/R&gt;&lt;C&gt;1&lt;/C&gt;&lt;D xsi:type="xsd:double"&gt;2.82&lt;/D&gt;&lt;/FQL&gt;&lt;FQL&gt;&lt;Q&gt;GM^JULIAN(FF_EPS(QTR_R,0).DATES)&lt;/Q&gt;&lt;R&gt;1&lt;/R&gt;&lt;C&gt;1&lt;/C&gt;&lt;D xsi:type="xsd:long"&gt;46022&lt;/D&gt;&lt;/FQL&gt;&lt;FQL&gt;&lt;Q&gt;GIS^FF_EPS(QTR_R,0)&lt;/Q&gt;&lt;R&gt;1&lt;/R&gt;&lt;C&gt;1&lt;/C&gt;&lt;D xsi:type="xsd:double"&gt;0.5641&lt;/D&gt;&lt;/FQL&gt;&lt;FQL&gt;&lt;Q&gt;GEN^FE_ESTIMATE(EPS,MEAN,QTR_ROLL,-0,0,,,'')&lt;/Q&gt;&lt;R&gt;1&lt;/R&gt;&lt;C&gt;1&lt;/C&gt;&lt;D xsi:type="xsd:double"&gt;0.64&lt;/D&gt;&lt;/FQL&gt;&lt;FQL&gt;&lt;Q&gt;GE^JULIAN(FF_EPS(QTR_R,0).DATES)&lt;/Q&gt;&lt;R&gt;1&lt;/R&gt;&lt;C&gt;1&lt;/C&gt;&lt;D xsi:type="xsd:long"&gt;46022&lt;/D&gt;&lt;/FQL&gt;&lt;FQL&gt;&lt;Q&gt;FTV^FF_EPS(QTR_R,0)&lt;/Q&gt;&lt;R&gt;1&lt;/R&gt;&lt;C&gt;1&lt;/C&gt;&lt;D xsi:type="xsd:double"&gt;0.5814&lt;/D&gt;&lt;/FQL&gt;&lt;FQL&gt;&lt;Q&gt;XOM^FF_EPS(QTR_R,0)&lt;/Q&gt;&lt;R&gt;1&lt;/R&gt;&lt;C&gt;1&lt;/C&gt;&lt;D xsi:type="xsd:double"&gt;1.534&lt;/D&gt;&lt;/FQL&gt;&lt;FQL&gt;&lt;Q&gt;WRB^JULIAN(FF_EPS(QTR_R,0).DATES)&lt;/Q&gt;&lt;R&gt;1&lt;/R&gt;&lt;C&gt;1&lt;/C&gt;&lt;D xsi:type="xsd:long"&gt;46022&lt;/D&gt;&lt;/FQL&gt;&lt;FQL&gt;&lt;Q&gt;WFC^FE_ESTIMATE(EPS,MEAN,QTR_ROLL,-0,0,,,'')&lt;/Q&gt;&lt;R&gt;1&lt;/R&gt;&lt;C&gt;1&lt;/C&gt;&lt;D xsi:type="xsd:double"&gt;1.62&lt;/D&gt;&lt;/FQL&gt;&lt;FQL&gt;&lt;Q&gt;VTRS^FF_EPS(QTR_R,0)&lt;/Q&gt;&lt;R&gt;1&lt;/R&gt;&lt;C&gt;1&lt;/C&gt;&lt;D xsi:type="xsd:double"&gt;-0.2951&lt;/D&gt;&lt;/FQL&gt;&lt;FQL&gt;&lt;Q&gt;VRTX^FF_EPS(QTR_R,0)&lt;/Q&gt;&lt;R&gt;1&lt;/R&gt;&lt;C&gt;1&lt;/C&gt;&lt;D xsi:type="xsd:double"&gt;4.6509&lt;/D&gt;&lt;/FQL&gt;&lt;FQL&gt;&lt;Q&gt;VMC^FF_EPS(QTR_R,0)&lt;/Q&gt;&lt;R&gt;1&lt;/R&gt;&lt;C&gt;1&lt;/C&gt;&lt;D xsi:type="xsd:double"&gt;1.9076&lt;/D&gt;&lt;/FQL&gt;&lt;FQL&gt;&lt;Q&gt;VICI^FF_EPS(QTR_R,0)&lt;/Q&gt;&lt;R&gt;1&lt;/R&gt;&lt;C&gt;1&lt;/C&gt;&lt;D xsi:type="xsd:double"&gt;0.566&lt;/D&gt;&lt;/FQL&gt;&lt;FQL&gt;&lt;Q&gt;TPR^JULIAN(FF_EPS(QTR_R,0).DATES)&lt;/Q&gt;&lt;R&gt;1&lt;/R&gt;&lt;C&gt;1&lt;/C&gt;&lt;D xsi:type="xsd:long"&gt;46022&lt;/D&gt;&lt;/FQL&gt;&lt;FQL&gt;&lt;Q&gt;TJX^JULIAN(FF_EPS(QTR_R,0).DATES)&lt;/Q&gt;&lt;R&gt;1&lt;/R&gt;&lt;C&gt;1&lt;/C&gt;&lt;D xsi:type="xsd:long"&gt;46052&lt;/D&gt;&lt;/FQL&gt;&lt;FQL&gt;&lt;Q&gt;TFC^JULIAN(FF_EPS(QTR_R,0).DATES)&lt;/Q&gt;&lt;R&gt;1&lt;/R&gt;&lt;C&gt;1&lt;/C&gt;&lt;D xsi:type="xsd:long"&gt;46022&lt;/D&gt;&lt;/FQL&gt;&lt;FQL&gt;&lt;Q&gt;TECH^JULIAN(FF_EPS(QTR_R,0).DATES)&lt;/Q&gt;&lt;R&gt;1&lt;/R&gt;&lt;C&gt;1&lt;/C&gt;&lt;D xsi:type="xsd:long"&gt;46022&lt;/D&gt;&lt;/FQL&gt;&lt;FQL&gt;&lt;Q&gt;STLD^FE_ESTIMATE(EPS,MEAN,QTR_ROLL,-0,0,,,'')&lt;/Q&gt;&lt;R&gt;1&lt;/R&gt;&lt;C&gt;1&lt;/C&gt;&lt;D xsi:type="xsd:double"&gt;1.82&lt;/D&gt;&lt;/FQL&gt;&lt;FQL&gt;&lt;Q&gt;SPGI^FE_ESTIMATE(EPS,MEAN,QTR_ROLL,-0,0,,,'')&lt;/Q&gt;&lt;R&gt;1&lt;/R&gt;&lt;C&gt;1&lt;/C&gt;&lt;D xsi:type="xsd:double"&gt;4.3&lt;/D&gt;&lt;/FQL&gt;&lt;FQL&gt;&lt;Q&gt;SNPS^FE_ESTIMATE(EPS,MEAN,QTR_ROLL,-0,0,,,'')&lt;/Q&gt;&lt;R&gt;1&lt;/R&gt;&lt;C&gt;1&lt;/C&gt;&lt;D xsi:type="xsd:double"&gt;3.77&lt;/D&gt;&lt;/FQL&gt;&lt;FQL&gt;&lt;Q&gt;SLB^FE_ESTIMATE(EPS,MEAN,QTR_ROLL,-0,0,,,'')&lt;/Q&gt;&lt;R&gt;1&lt;/R&gt;&lt;C&gt;1&lt;/C&gt;&lt;D xsi:type="xsd:double"&gt;0.78&lt;/D&gt;&lt;/FQL&gt;&lt;FQL&gt;&lt;Q&gt;SEE^FE_ESTIMATE(EPS,MEAN,QTR_ROLL,-0,0,,,'')&lt;/Q&gt;&lt;R&gt;1&lt;/R&gt;&lt;C&gt;1&lt;/C&gt;&lt;D xsi:type="xsd:double"&gt;0.77&lt;/D&gt;&lt;/FQL&gt;&lt;FQL&gt;&lt;Q&gt;SBAC^FE_ESTIMATE(EPS,MEAN,QTR_ROLL,-0,0,,,'')&lt;/Q&gt;&lt;R&gt;1&lt;/R&gt;&lt;C&gt;1&lt;/C&gt;&lt;D xsi:type="xsd:double"&gt;3.47&lt;/D&gt;&lt;/FQL&gt;&lt;FQL&gt;&lt;Q&gt;RSG^FE_ESTIMATE(EPS,MEAN,QTR_ROLL,-0,0,,,'')&lt;/Q&gt;&lt;R&gt;1&lt;/R&gt;&lt;C&gt;1&lt;/C&gt;&lt;D xsi:type="xsd:double"&gt;1.76&lt;/D&gt;&lt;/FQL&gt;&lt;FQL&gt;&lt;Q&gt;ROL^FE_ESTIMATE(EPS,MEAN,QTR_ROLL,-0,0,,,'')&lt;/Q&gt;&lt;R&gt;1&lt;/R&gt;&lt;C&gt;1&lt;/C&gt;&lt;D xsi:type="xsd:double"&gt;0.24&lt;/D&gt;&lt;/FQL&gt;&lt;FQL&gt;&lt;Q&gt;PVH^FF_EPS(QTR_R,0)&lt;/Q&gt;&lt;R&gt;1&lt;/R&gt;&lt;C&gt;1&lt;/C&gt;&lt;D xsi:type="xsd:double"&gt;0.0877&lt;/D&gt;&lt;/FQL&gt;&lt;FQL&gt;&lt;Q&gt;PSA^FF_EPS(QTR_R,0)&lt;/Q&gt;&lt;R&gt;1&lt;/R&gt;&lt;C&gt;1&lt;/C&gt;&lt;D xsi:type="xsd:double"&gt;2.5986&lt;/D&gt;&lt;/FQL&gt;&lt;FQL&gt;&lt;Q&gt;PPG^FF_EPS(QTR_R,0)&lt;/Q&gt;&lt;R&gt;1&lt;/R&gt;&lt;C&gt;1&lt;/C&gt;&lt;D xsi:type="xsd:double"&gt;1.341&lt;/D&gt;&lt;/FQL&gt;&lt;FQL&gt;&lt;Q&gt;OXY^JULIAN(FF_EPS(QTR_R,0).DATES)&lt;/Q&gt;&lt;R&gt;1&lt;/R&gt;&lt;C&gt;1&lt;/C&gt;&lt;D xsi:type="xsd:long"&gt;46022&lt;/D&gt;&lt;/FQL&gt;&lt;FQL&gt;&lt;Q&gt;ORCL^JULIAN(FF_EPS(QTR_R,0).DATES)&lt;/Q&gt;&lt;R&gt;1&lt;/R&gt;&lt;C&gt;1&lt;/C&gt;&lt;D xsi:type="xsd:long"&gt;46080&lt;/D&gt;&lt;/FQL&gt;&lt;FQL&gt;&lt;Q&gt;OKE^JULIAN(FF_EPS(QTR_R,0).DATES)&lt;/Q&gt;&lt;R&gt;1&lt;/R&gt;&lt;C&gt;1&lt;/C&gt;&lt;D xsi:type="xsd:long"&gt;46022&lt;/D&gt;&lt;/FQL&gt;&lt;FQL&gt;&lt;Q&gt;NXPI^JULIAN(FF_EPS(QTR_R,0).DATES)&lt;/Q&gt;&lt;R&gt;1&lt;/R&gt;&lt;C&gt;1&lt;/C&gt;&lt;D xsi:type="xsd:long"&gt;46022&lt;/D&gt;&lt;/FQL&gt;&lt;FQL&gt;&lt;Q&gt;NVR^JULIAN(FF_EPS(QTR_R,0).DATES)&lt;/Q&gt;&lt;R&gt;1&lt;/R&gt;&lt;C&gt;1&lt;/C&gt;&lt;D xsi:type="xsd:long"&gt;46022&lt;/D&gt;&lt;/FQL&gt;&lt;FQL&gt;&lt;Q&gt;NI^FE_ESTIMATE(EPS,MEAN,QTR_ROLL,-0,0,,,'')&lt;/Q&gt;&lt;R&gt;1&lt;/R&gt;&lt;C&gt;1&lt;/C&gt;&lt;D xsi:type="xsd:double"&gt;0.51&lt;/D&gt;&lt;/FQL&gt;&lt;FQL&gt;&lt;Q&gt;NEE^FE_ESTIMATE(EPS,MEAN,QTR_ROLL,-0,0,,,'')&lt;/Q&gt;&lt;R&gt;1&lt;/R&gt;&lt;C&gt;1&lt;/C&gt;&lt;D xsi:type="xsd:double"&gt;0.54&lt;/D&gt;&lt;/FQL&gt;&lt;FQL&gt;&lt;Q&gt;NCLH^FE_ESTIMATE(EPS,MEAN,QTR_ROLL,-0,0,,,'')&lt;/Q&gt;&lt;R&gt;1&lt;/R&gt;&lt;C&gt;1&lt;/C&gt;&lt;D xsi:type="xsd:double"&gt;0.28&lt;/D&gt;&lt;/FQL&gt;&lt;FQL&gt;&lt;Q&gt;MTCH^FE_ESTIMATE(EPS,MEAN,QTR_ROLL,-0,0,,,'')&lt;/Q&gt;&lt;R&gt;1&lt;/R&gt;&lt;C&gt;1&lt;/C&gt;&lt;D xsi:type="xsd:double"&gt;0.83&lt;/D&gt;&lt;/FQL&gt;&lt;FQL&gt;&lt;Q&gt;MSFT^FE_ESTIMATE(EPS,MEAN,QTR_ROLL,-0,0,,,'')&lt;/Q&gt;&lt;R&gt;1&lt;/R&gt;&lt;C&gt;1&lt;/C&gt;&lt;D xsi:type="xsd:double"&gt;4.14&lt;/D&gt;&lt;/FQL&gt;&lt;FQL&gt;&lt;Q&gt;MRO^FE_ESTIMATE(EPS,MEAN,QTR_ROLL,-0,0,,,'')&lt;/Q&gt;&lt;R&gt;0&lt;/R&gt;&lt;C&gt;0&lt;/C&gt;&lt;/FQL&gt;&lt;FQL&gt;&lt;Q&gt;MPWR^FE_ESTIMATE(EPS,MEAN,QTR_ROLL,-0,0,,,'')&lt;/Q&gt;&lt;R&gt;1&lt;/R&gt;&lt;C&gt;1&lt;/C&gt;&lt;D xsi:type="xsd:double"&gt;4.79&lt;/D&gt;&lt;/FQL&gt;&lt;FQL&gt;&lt;Q&gt;MOH^FE_ESTIMATE(EPS,MEAN,QTR_ROLL,-0,0,,,'')&lt;/Q&gt;&lt;R&gt;1&lt;/R&gt;&lt;C&gt;1&lt;/C&gt;&lt;D xsi:type="xsd:double"&gt;-2.75&lt;/D&gt;&lt;/FQL&gt;&lt;FQL&gt;&lt;Q&gt;MAS^FF_EPS(QTR_R,0)&lt;/Q&gt;&lt;R&gt;1&lt;/R&gt;&lt;C&gt;1&lt;/C&gt;&lt;D xsi:type="xsd:double"&gt;0.7971&lt;/D&gt;&lt;/FQL&gt;&lt;FQL&gt;&lt;Q&gt;MA^FF_EPS(QTR_R,0)&lt;/Q&gt;&lt;R&gt;1&lt;/R&gt;&lt;C&gt;1&lt;/C&gt;&lt;D xsi:type="xsd:double"&gt;4.5212&lt;/D&gt;&lt;/FQL&gt;&lt;FQL&gt;&lt;Q&gt;L^FF_EPS(QTR_R,0)&lt;/Q&gt;&lt;R&gt;1&lt;/R&gt;&lt;C&gt;1&lt;/C&gt;&lt;D xsi:type="xsd:double"&gt;1.9439&lt;/D&gt;&lt;/FQL&gt;&lt;FQL&gt;&lt;Q&gt;KMB^FE_ESTIMATE(EPS,MEAN,QTR_ROLL,-0,0,,,'')&lt;/Q&gt;&lt;R&gt;1&lt;/R&gt;&lt;C&gt;1&lt;/C&gt;&lt;D xsi:type="xsd:double"&gt;1.86&lt;/D&gt;&lt;/FQL&gt;&lt;FQL&gt;&lt;Q&gt;KEY^JULIAN(FF_EPS(QTR_R,0).DATES)&lt;/Q&gt;&lt;R&gt;1&lt;/R&gt;&lt;C&gt;1&lt;/C&gt;&lt;D xsi:type="xsd:long"&gt;46022&lt;/D&gt;&lt;/FQL&gt;&lt;FQL&gt;&lt;Q&gt;JKHY^FF_EPS(QTR_R,0)&lt;/Q&gt;&lt;R&gt;1&lt;/R&gt;&lt;C&gt;1&lt;/C&gt;&lt;D xsi:type="xsd:double"&gt;1.7216&lt;/D&gt;&lt;/FQL&gt;&lt;FQL&gt;&lt;Q&gt;IRM^FE_ESTIMATE(EPS,MEAN,QTR_ROLL,-0,0,,,'')&lt;/Q&gt;&lt;R&gt;1&lt;/R&gt;&lt;C&gt;1&lt;/C&gt;&lt;D xsi:type="xsd:double"&gt;0.61&lt;/D&gt;&lt;/FQL&gt;&lt;FQL&gt;&lt;Q&gt;INVH^JULIAN(FF_EPS(QTR_R,0).DATES)&lt;/Q&gt;&lt;R&gt;1&lt;/R&gt;&lt;C&gt;1&lt;/C&gt;&lt;D xsi:type="xsd:long"&gt;46022&lt;/D&gt;&lt;/FQL&gt;&lt;FQL&gt;&lt;Q&gt;IEX^FF_EPS(QTR_R,0)&lt;/Q&gt;&lt;R&gt;1&lt;/R&gt;&lt;C&gt;1&lt;/C&gt;&lt;D xsi:type="xsd:double"&gt;1.7152&lt;/D&gt;&lt;/FQL&gt;&lt;FQL&gt;&lt;Q&gt;HUBB^FE_ESTIMATE(EPS,MEAN,QTR_ROLL,-0,0,,,'')&lt;/Q&gt;&lt;R&gt;1&lt;/R&gt;&lt;C&gt;1&lt;/C&gt;&lt;D xsi:type="xsd:double"&gt;4.73&lt;/D&gt;&lt;/FQL&gt;&lt;FQL&gt;&lt;Q&gt;HPQ^JULIAN(FF_EPS(QTR_R,0).DATES)&lt;/Q&gt;&lt;R&gt;1&lt;/R&gt;&lt;C&gt;1&lt;/C&gt;&lt;D xsi:type="xsd:long"&gt;46052&lt;/D&gt;&lt;/FQL&gt;&lt;FQL&gt;&lt;Q&gt;HBAN^FF_EPS(QTR_R,0)&lt;/Q&gt;&lt;R&gt;1&lt;/R&gt;&lt;C&gt;1&lt;/C&gt;&lt;D xsi:type="xsd:double"&gt;0.3032&lt;/D&gt;&lt;/FQL&gt;&lt;FQL&gt;&lt;Q&gt;GPN^FE_ESTIMATE(EPS,MEAN,QTR_ROLL,-0,0,,,'')&lt;/Q&gt;&lt;R&gt;1&lt;/R&gt;&lt;C&gt;1&lt;/C&gt;&lt;D xsi:type="xsd:double"&gt;3.18&lt;/D&gt;&lt;/FQL&gt;&lt;FQL&gt;&lt;Q&gt;GIS^JULIAN(FF_EPS(QTR_R,0).DATES)&lt;/Q&gt;&lt;R&gt;1&lt;/R&gt;&lt;C&gt;1&lt;/C&gt;&lt;D xsi:type="xsd:long"&gt;46080&lt;/D&gt;&lt;/FQL&gt;&lt;FQL&gt;&lt;Q&gt;GDDY^FF_EPS(QTR_R,0)&lt;/Q&gt;&lt;R&gt;1&lt;/R&gt;&lt;C&gt;1&lt;/C&gt;&lt;D xsi:type="xsd:double"&gt;1.7998&lt;/D&gt;&lt;/FQL&gt;&lt;FQL&gt;&lt;Q&gt;YUM^FE_ESTIMATE(EPS,MEAN,QTR_ROLL,-0,0,,,'')&lt;/Q&gt;&lt;R&gt;1&lt;/R&gt;&lt;C&gt;1&lt;/C&gt;&lt;D xsi:type="xsd:double"&gt;1.73&lt;/D&gt;&lt;/FQL&gt;&lt;FQL&gt;&lt;Q&gt;XEL^FF_EPS(QTR_R,0)&lt;/Q&gt;&lt;R&gt;1&lt;/R&gt;&lt;C&gt;1&lt;/C&gt;&lt;D xsi:type="xsd:double"&gt;0.9498&lt;/D&gt;&lt;/FQL&gt;&lt;FQL&gt;&lt;Q&gt;WBA^FE_ESTIMATE(EPS,MEAN,QTR_ROLL,-0,0,,,'')&lt;/Q&gt;&lt;R&gt;0&lt;/R&gt;&lt;C&gt;0&lt;/C&gt;&lt;/FQL&gt;&lt;FQL&gt;&lt;Q&gt;VZ^FF_EPS(QTR_R,0)&lt;/Q&gt;&lt;R&gt;1&lt;/R&gt;&lt;C&gt;1&lt;/C&gt;&lt;D xsi:type="xsd:double"&gt;0.5529&lt;/D&gt;&lt;/FQL&gt;&lt;FQL&gt;&lt;Q&gt;VRSK^JULIAN(FF_EPS(QTR_R,0).DATES)&lt;/Q&gt;&lt;R&gt;1&lt;/R&gt;&lt;C&gt;1&lt;/C&gt;&lt;D xsi:type="xsd:long"&gt;46022&lt;/D&gt;&lt;/FQL&gt;&lt;FQL&gt;&lt;Q&gt;VICI^FE_ESTIMATE(EPS,MEAN,QTR_ROLL,-0,0,,,'')&lt;/Q&gt;&lt;R&gt;1&lt;/R&gt;&lt;C&gt;1&lt;/C&gt;&lt;D xsi:type="xsd:double"&gt;0.57&lt;/D&gt;&lt;/FQL&gt;&lt;FQL&gt;&lt;Q&gt;URI^FF_EPS(QTR_R,0)&lt;/Q&gt;&lt;R&gt;1&lt;/R&gt;&lt;C&gt;1&lt;/C&gt;&lt;D xsi:type="xsd:double"&gt;10.2673&lt;/D&gt;&lt;/FQL&gt;&lt;FQL&gt;&lt;Q&gt;UNH^JULIAN(FF_EPS(QTR_R,0).DATES)&lt;/Q&gt;&lt;R&gt;1&lt;/R&gt;&lt;C&gt;1&lt;/C&gt;&lt;D xsi:type="xsd:long"&gt;46022&lt;/D&gt;&lt;/FQL&gt;&lt;FQL&gt;&lt;Q&gt;TXT^FE_ESTIMATE(EPS,MEAN,QTR_ROLL,-0,0,,,'')&lt;/Q&gt;&lt;R&gt;1&lt;/R&gt;&lt;C&gt;1&lt;/C&gt;&lt;D xsi:type="xsd:double"&gt;1.73&lt;/D&gt;&lt;/FQL&gt;&lt;FQL&gt;&lt;Q&gt;TMO^FE_ESTIMATE(EPS,MEAN,QTR_ROLL,-0,0,,,'')&lt;/Q&gt;&lt;R&gt;1&lt;/R&gt;&lt;C&gt;1&lt;/C&gt;&lt;D xsi:type="xsd:double"&gt;6.57&lt;/D&gt;&lt;/FQL&gt;&lt;FQL&gt;&lt;Q&gt;ZTS^JULIAN(FF_EPS(QTR_R,0).DATES)&lt;/Q&gt;&lt;R&gt;1&lt;/R&gt;&lt;C&gt;1&lt;/C&gt;&lt;D xsi:type="xsd:long"&gt;46022&lt;/D&gt;&lt;/FQL&gt;&lt;FQL&gt;&lt;Q&gt;WMB^JULIAN(FF_EPS(QTR_R,0).DATES)&lt;/Q&gt;&lt;R&gt;1&lt;/R&gt;&lt;C&gt;1&lt;/C&gt;&lt;D xsi:type="xsd:long"&gt;46022&lt;/D&gt;&lt;/FQL&gt;&lt;FQL&gt;&lt;Q&gt;WEC^FE_ESTIMATE(EPS,MEAN,QTR_ROLL,-0,0,,,'')&lt;/Q&gt;&lt;R&gt;1&lt;/R&gt;&lt;C&gt;1&lt;/C&gt;&lt;D xsi:type="xsd:double"&gt;1.42&lt;/D&gt;&lt;/FQL&gt;&lt;FQL&gt;&lt;Q&gt;WBA^FF_EPS(QTR_R,0)&lt;/Q&gt;&lt;R&gt;1&lt;/R&gt;&lt;C&gt;1&lt;/C&gt;&lt;D xsi:type="xsd:double"&gt;-0.2023&lt;/D&gt;&lt;/FQL&gt;&lt;FQL&gt;&lt;Q&gt;VST^JULIAN(FF_EPS(QTR_R,0).DATES)&lt;/Q&gt;&lt;R&gt;1&lt;/R&gt;&lt;C&gt;1&lt;/C&gt;&lt;D xsi:type="xsd:long"&gt;46022&lt;/D&gt;&lt;/FQL&gt;&lt;FQL&gt;&lt;Q&gt;VMC^FE_ESTIMATE(EPS,MEAN,QTR_ROLL,-0,0,,,'')&lt;/Q&gt;&lt;R&gt;1&lt;/R&gt;&lt;C&gt;1&lt;/C&gt;&lt;D xsi:type="xsd:double"&gt;1.7&lt;/D&gt;&lt;/FQL&gt;&lt;FQL&gt;&lt;Q&gt;URI^JULIAN(FF_EPS(QTR_R,0).DATES)&lt;/Q&gt;&lt;R&gt;1&lt;/R&gt;&lt;C&gt;1&lt;/C&gt;&lt;D xsi:type="xsd:long"&gt;46022&lt;/D&gt;&lt;/FQL&gt;&lt;FQL&gt;&lt;Q&gt;UBER^FE_ESTIMATE(EPS,MEAN,QTR_ROLL,-0,0,,,'')&lt;/Q&gt;&lt;R&gt;1&lt;/R&gt;&lt;C&gt;1&lt;/C&gt;&lt;D xsi:type="xsd:double"&gt;0.14&lt;/D&gt;&lt;/FQL&gt;&lt;FQL&gt;&lt;Q&gt;TT^FF_EPS(QTR_R,0)&lt;/Q&gt;&lt;R&gt;1&lt;/R&gt;&lt;C&gt;1&lt;/C&gt;&lt;D xsi:type="xsd:double"&gt;2.6445&lt;/D&gt;&lt;/FQL&gt;&lt;FQL&gt;&lt;Q&gt;TRGP^FE_ESTIMATE(EPS,MEAN,QTR_ROLL,-0,0,,,'')&lt;/Q&gt;&lt;R&gt;1&lt;/R&gt;&lt;C&gt;1&lt;/C&gt;&lt;D xsi:type="xsd:double"&gt;2.5381927&lt;/D&gt;&lt;/FQL&gt;&lt;FQL&gt;&lt;Q&gt;TFX^FF_EPS(QTR_R,0)&lt;/Q&gt;&lt;R&gt;1&lt;/R&gt;&lt;C&gt;1&lt;/C&gt;&lt;D xsi:type="xsd:double"&gt;-16.1474&lt;/D&gt;&lt;/FQL&gt;&lt;FQL&gt;&lt;Q&gt;TEL^JULIAN(FF_EPS(QTR_R,0).DATES)&lt;/Q&gt;&lt;R&gt;1&lt;/R&gt;&lt;C&gt;1&lt;/C&gt;&lt;D xsi:type="xsd:long"&gt;46022&lt;/D&gt;&lt;/FQL&gt;&lt;FQL&gt;&lt;Q&gt;ZION^FE_ESTIMATE(EPS,MEAN,QTR_ROLL,-0,0,,,'')&lt;/Q&gt;&lt;R&gt;1&lt;/R&gt;&lt;C&gt;1&lt;/C&gt;&lt;D xsi:type="xsd:double"&gt;1.76&lt;/D&gt;&lt;/FQL&gt;&lt;FQL&gt;&lt;Q&gt;YUM^FF_EPS(QTR_R,0)&lt;/Q&gt;&lt;R&gt;1&lt;/R&gt;&lt;C&gt;1&lt;/C&gt;&lt;D xsi:type="xsd:double"&gt;1.9107&lt;/D&gt;&lt;/FQL&gt;&lt;FQL&gt;&lt;Q&gt;XEL^JULIAN(FF_EPS(QTR_R,0).DATES)&lt;/Q&gt;&lt;R&gt;1&lt;/R&gt;&lt;C&gt;1&lt;/C&gt;&lt;D xsi:type="xsd:long"&gt;46022&lt;/D&gt;&lt;/FQL&gt;&lt;FQL&gt;&lt;Q&gt;VZ^JULIAN(FF_EPS(QTR_R,0).DATES)&lt;/Q&gt;&lt;R&gt;1&lt;/R&gt;&lt;C&gt;1&lt;/C&gt;&lt;D xsi:type="xsd:long"&gt;46022&lt;/D&gt;&lt;/FQL&gt;&lt;FQL&gt;&lt;Q&gt;VICI^JULIAN(FF_EPS(QTR_R,0).DATES)&lt;/Q&gt;&lt;R&gt;1&lt;/R&gt;&lt;C&gt;1&lt;/C&gt;&lt;D xsi:type="xsd:long"&gt;46022&lt;/D&gt;&lt;/FQL&gt;&lt;FQL&gt;&lt;Q&gt;ULTA^FE_ESTIMATE(EPS,MEAN,QTR_ROLL,-0,0,,,'')&lt;/Q&gt;&lt;R&gt;1&lt;/R&gt;&lt;C&gt;1&lt;/C&gt;&lt;D xsi:type="xsd:double"&gt;8.01&lt;/D&gt;&lt;/FQL&gt;&lt;FQL&gt;&lt;Q&gt;TXT^FF_EPS(QTR_R,0)&lt;/Q&gt;&lt;R&gt;1&lt;/R&gt;&lt;C&gt;1&lt;/C&gt;&lt;D xsi:type="xsd:double"&gt;1.3268&lt;/D&gt;&lt;/FQL&gt;&lt;FQL&gt;&lt;Q&gt;TT^JULIAN(FF_EPS(QTR_R,0).DATES)&lt;/Q&gt;&lt;R&gt;1&lt;/R&gt;&lt;C&gt;1&lt;/C&gt;&lt;D xsi:type="xsd:long"&gt;46022&lt;/D&gt;&lt;/FQL&gt;&lt;FQL&gt;&lt;Q&gt;TRV^FE_ESTIMATE(EPS,MEAN,QTR_ROLL,-0,0,,,'')&lt;/Q&gt;&lt;R&gt;1&lt;/R&gt;&lt;C&gt;1&lt;/C&gt;&lt;D xsi:type="xsd:double"&gt;11.13&lt;/D&gt;&lt;/FQL&gt;&lt;FQL&gt;&lt;Q&gt;TMO^FF_EPS(QTR_R,0)&lt;/Q&gt;&lt;R&gt;1&lt;/R&gt;&lt;C&gt;1&lt;/C&gt;&lt;D xsi:type="xsd:double"&gt;5.2096&lt;/D&gt;&lt;/FQL&gt;&lt;FQL&gt;&lt;Q&gt;TAP^FE_ESTIMATE(EPS,MEAN,QTR_ROLL,-0,0,,,'')&lt;/Q&gt;&lt;R&gt;1&lt;/R&gt;&lt;C&gt;1&lt;/C&gt;&lt;D xsi:type="xsd:double"&gt;1.21&lt;/D&gt;&lt;/FQL&gt;&lt;FQL&gt;&lt;Q&gt;STT^JULIAN(FF_EPS(QTR_R,0).DATES)&lt;/Q&gt;&lt;R&gt;1&lt;/R&gt;&lt;C&gt;1&lt;/C&gt;&lt;D xsi:type="xsd:long"&gt;46022&lt;/D&gt;&lt;/FQL&gt;&lt;FQL&gt;&lt;Q&gt;SNPS^FF_EPS(QTR_R,0)&lt;/Q&gt;&lt;R&gt;1&lt;/R&gt;&lt;C&gt;1&lt;/C&gt;&lt;D xsi:type="xsd:double"&gt;0.3405&lt;/D&gt;&lt;/FQL&gt;&lt;FQL&gt;&lt;Q&gt;SEE^JULIAN(FF_EPS(QTR_R,0).DATES)&lt;/Q&gt;&lt;R&gt;1&lt;/R&gt;&lt;C&gt;1&lt;/C&gt;&lt;D xsi:type="xsd:long"&gt;46022&lt;/D&gt;&lt;/FQL&gt;&lt;FQL&gt;&lt;Q&gt;RVTY^FE_ESTIMATE(EPS,MEAN,QTR_ROLL,-0,0,,,'')&lt;/Q&gt;&lt;R&gt;1&lt;/R&gt;&lt;C&gt;1&lt;/C&gt;&lt;D xsi:type="xsd:double"&gt;1.7&lt;/D&gt;&lt;/FQL&gt;&lt;FQL&gt;&lt;Q&gt;ROST^FF_EPS(QTR_R,0)&lt;/Q&gt;&lt;R&gt;1&lt;/R&gt;&lt;C&gt;1&lt;/C&gt;&lt;D xsi:type="xsd:double"&gt;2&lt;/D&gt;&lt;/FQL&gt;&lt;FQL&gt;&lt;Q&gt;RJF^JULIAN(FF_EPS(QTR_R,0).DATES)&lt;/Q&gt;&lt;R&gt;1&lt;/R&gt;&lt;C&gt;1&lt;/C&gt;&lt;D xsi:type="xsd:long"&gt;46022&lt;/D&gt;&lt;/FQL&gt;&lt;FQL&gt;&lt;Q&gt;PWR^FF_EPS(QTR_R,0)&lt;/Q&gt;&lt;R&gt;1&lt;/R&gt;&lt;C&gt;1&lt;/C&gt;&lt;D xsi:type="xsd:double"&gt;2.0789&lt;/D&gt;&lt;/FQL&gt;&lt;FQL&gt;&lt;Q&gt;PPL^JULIAN(FF_EPS(QTR_R,0).DATES)&lt;/Q&gt;&lt;R&gt;1&lt;/R&gt;&lt;C&gt;1&lt;/C&gt;&lt;D xsi:type="xsd:long"&gt;46022&lt;/D&gt;&lt;/FQL&gt;&lt;FQL&gt;&lt;Q&gt;PNW^FE_ESTIMATE(EPS,MEAN,QTR_ROLL,-0,0,,,'')&lt;/Q&gt;&lt;R&gt;1&lt;/R&gt;&lt;C&gt;1&lt;/C&gt;&lt;D xsi:type="xsd:double"&gt;0.13&lt;/D&gt;&lt;/FQL&gt;&lt;FQL&gt;&lt;Q&gt;PM^FF_EPS(QTR_R,0)&lt;/Q&gt;&lt;R&gt;1&lt;/R&gt;&lt;C&gt;1&lt;/C&gt;&lt;D xsi:type="xsd:double"&gt;1.3704&lt;/D&gt;&lt;/FQL&gt;&lt;FQL&gt;&lt;Q&gt;PKG^JULIAN(FF_EPS(QTR_R,0).DATES)&lt;/Q&gt;&lt;R&gt;1&lt;/R&gt;&lt;C&gt;1&lt;/C&gt;&lt;D xsi:type="xsd:long"&gt;46022&lt;/D&gt;&lt;/FQL&gt;&lt;FQL&gt;&lt;Q&gt;PEP^FE_ESTIMATE(EPS,MEAN,QTR_ROLL,-0,0,,,'')&lt;/Q&gt;&lt;R&gt;1&lt;/R&gt;&lt;C&gt;1&lt;/C&gt;&lt;D xsi:type="xsd:double"&gt;2.26&lt;/D&gt;&lt;/FQL&gt;&lt;FQL&gt;&lt;Q&gt;PCG^FF_EPS(QTR_R,0)&lt;/Q&gt;&lt;R&gt;1&lt;/R&gt;&lt;C&gt;1&lt;/C&gt;&lt;D xsi:type="xsd:double"&gt;0.2921&lt;/D&gt;&lt;/FQL&gt;&lt;FQL&gt;&lt;Q&gt;OMC^FE_ESTIMATE(EPS,MEAN,QTR_ROLL,-0,0,,,'')&lt;/Q&gt;&lt;R&gt;1&lt;/R&gt;&lt;C&gt;1&lt;/C&gt;&lt;D xsi:type="xsd:double"&gt;2.59&lt;/D&gt;&lt;/FQL&gt;&lt;FQL&gt;&lt;Q&gt;NUE^JULIAN(FF_EPS(QTR_R,0).DATES)&lt;/Q&gt;&lt;R&gt;1&lt;/R&gt;&lt;C&gt;1&lt;/C&gt;&lt;D xsi:type="xsd:long"&gt;46022&lt;/D&gt;&lt;/FQL&gt;&lt;FQL&gt;&lt;Q&gt;NKE^FE_ESTIMATE(EPS,MEAN,QTR_ROLL,-0,0,,,'')&lt;/Q&gt;&lt;R&gt;1&lt;/R&gt;&lt;C&gt;1&lt;/C&gt;&lt;D xsi:type="xsd:double"&gt;0.53&lt;/D&gt;&lt;/FQL&gt;&lt;FQL&gt;&lt;Q&gt;NEM^FF_EPS(QTR_R,0)&lt;/Q&gt;&lt;R&gt;1&lt;/R&gt;&lt;C&gt;1&lt;/C&gt;&lt;D xsi:type="xsd:double"&gt;1.1892&lt;/D&gt;&lt;/FQL&gt;&lt;FQL&gt;&lt;Q&gt;NDAQ^JULIAN(FF_EPS(QTR_R,0).DATES)&lt;/Q&gt;&lt;R&gt;1&lt;/R&gt;&lt;C&gt;1&lt;/C&gt;&lt;D xsi:type="xsd:long"&gt;46022&lt;/D&gt;&lt;/FQL&gt;&lt;FQL&gt;&lt;Q&gt;MRO^FF_EPS(QTR_R,0)&lt;/Q&gt;&lt;R&gt;1&lt;/R&gt;&lt;C&gt;1&lt;/C&gt;&lt;D xsi:type="xsd:double"&gt;0.5089&lt;/D&gt;&lt;/FQL&gt;&lt;FQL&gt;&lt;Q&gt;WYNN^FE_ESTIMATE(EPS,MEAN,QTR_ROLL,-0,0,,,'')&lt;/Q&gt;&lt;R&gt;1&lt;/R&gt;&lt;C&gt;1&lt;/C&gt;&lt;D xsi:type="xsd:double"&gt;1.17&lt;/D&gt;&lt;/FQL&gt;&lt;FQL&gt;&lt;Q&gt;WST^JULIAN(FF_EPS(QTR_R,0).DATES)&lt;/Q&gt;&lt;R&gt;1&lt;/R&gt;&lt;C&gt;1&lt;/C&gt;&lt;D xsi:type="xsd:long"&gt;46022&lt;/D&gt;&lt;/FQL&gt;&lt;FQL&gt;&lt;Q&gt;WM^FE_ESTIMATE(EPS,MEAN,QTR_ROLL,-0,0,,,'')&lt;/Q&gt;&lt;R&gt;1&lt;/R&gt;&lt;C&gt;1&lt;/C&gt;&lt;D xsi:type="xsd:double"&gt;1.93&lt;/D&gt;&lt;/FQL&gt;&lt;FQL&gt;&lt;Q&gt;WEC^FF_EPS(QTR_R,0)&lt;/Q&gt;&lt;R&gt;1&lt;/R&gt;&lt;C&gt;1&lt;/C&gt;&lt;D xsi:type="xsd:double"&gt;0.97&lt;/D&gt;&lt;/FQL&gt;&lt;FQL&gt;&lt;Q&gt;WBA^JULIAN(FF_EPS(QTR_R,0).DATES)&lt;/Q&gt;&lt;R&gt;1&lt;/R&gt;&lt;C&gt;1&lt;/C&gt;&lt;D xsi:type="xsd:long"&gt;45807&lt;/D&gt;&lt;/FQL&gt;&lt;FQL&gt;&lt;Q&gt;UPS^FE_ESTIMATE(EPS,MEAN,QTR_ROLL,-0,0,,,'')&lt;/Q&gt;&lt;R&gt;1&lt;/R&gt;&lt;C&gt;1&lt;/C&gt;&lt;D xsi:type="xsd:double"&gt;2.38&lt;/D&gt;&lt;/FQL&gt;&lt;FQL&gt;&lt;Q&gt;UBER^FF_EPS(QTR_R,0)&lt;/Q&gt;&lt;R&gt;1&lt;/R&gt;&lt;C&gt;1&lt;/C&gt;&lt;D xsi:type="xsd:double"&gt;0.142&lt;/D&gt;&lt;/FQL&gt;&lt;FQL&gt;&lt;Q&gt;TSN^FE_ESTIMATE(EPS,MEAN,QTR_ROLL,-0,0,,,'')&lt;/Q&gt;&lt;R&gt;1&lt;/R&gt;&lt;C&gt;1&lt;/C&gt;&lt;D xsi:type="xsd:double"&gt;0.97&lt;/D&gt;&lt;/FQL&gt;&lt;FQL&gt;&lt;Q&gt;TRGP^FF_EPS(QTR_R,0)&lt;/Q&gt;&lt;R&gt;1&lt;/R&gt;&lt;C&gt;1&lt;/C&gt;&lt;D xsi:type="xsd:double"&gt;2.5249&lt;/D&gt;&lt;/FQL&gt;&lt;FQL&gt;&lt;Q&gt;TFX^JULIAN(FF_EPS(QTR_R,0).DATES)&lt;/Q&gt;&lt;R&gt;1&lt;/R&gt;&lt;C&gt;1&lt;/C&gt;&lt;D xsi:type="xsd:long"&gt;46022&lt;/D&gt;&lt;/FQL&gt;&lt;FQL&gt;&lt;Q&gt;TECH^FE_ESTIMATE(EPS,MEAN,QTR_ROLL,-0,0,,,'')&lt;/Q&gt;&lt;R&gt;1&lt;/R&gt;&lt;C&gt;1&lt;/C&gt;&lt;D xsi:type="xsd:double"&gt;0.46&lt;/D&gt;&lt;/FQL&gt;&lt;FQL&gt;&lt;Q&gt;SYK^FF_EPS(QTR_R,0)&lt;/Q&gt;&lt;R&gt;1&lt;/R&gt;&lt;C&gt;1&lt;/C&gt;&lt;D xsi:type="xsd:double"&gt;2.1966&lt;/D&gt;&lt;/FQL&gt;&lt;FQL&gt;&lt;Q&gt;SWK^JULIAN(FF_EPS(QTR_R,0).DATES)&lt;/Q&gt;&lt;R&gt;1&lt;/R&gt;&lt;C&gt;1&lt;/C&gt;&lt;D xsi:type="xsd:long"&gt;46022&lt;/D&gt;&lt;/FQL&gt;&lt;FQL&gt;&lt;Q&gt;SPGI^FF_EPS(QTR_R,0)&lt;/Q&gt;&lt;R&gt;1&lt;/R&gt;&lt;C&gt;1&lt;/C&gt;&lt;D xsi:type="xsd:double"&gt;3.7537&lt;/D&gt;&lt;/FQL&gt;&lt;FQL&gt;&lt;Q&gt;SLB^JULIAN(FF_EPS(QTR_R,0).DATES)&lt;/Q&gt;&lt;R&gt;1&lt;/R&gt;&lt;C&gt;1&lt;/C&gt;&lt;D xsi:type="xsd:long"&gt;46022&lt;/D&gt;&lt;/FQL&gt;&lt;FQL&gt;&lt;Q&gt;ROK^JULIAN(FF_EPS(QTR_R,0).DATES)&lt;/Q&gt;&lt;R&gt;1&lt;/R&gt;&lt;C&gt;1&lt;/C&gt;&lt;D xsi:type="xsd:long"&gt;46022&lt;/D&gt;&lt;/FQL&gt;&lt;FQL&gt;&lt;Q&gt;RE^FE_ESTIMATE(EPS,MEAN,QTR_ROLL,-0,0,,,'')&lt;/Q&gt;&lt;R&gt;1&lt;/R&gt;&lt;C&gt;1&lt;/C&gt;&lt;D xsi:type="xsd:double"&gt;13.26&lt;/D&gt;&lt;/FQL&gt;&lt;FQL&gt;&lt;Q&gt;QCOM^FF_EPS(QTR_R,0)&lt;/Q&gt;&lt;R&gt;1&lt;/R&gt;&lt;C&gt;1&lt;/C&gt;&lt;D xsi:type="xsd:double"&gt;2.7841&lt;/D&gt;&lt;/FQL&gt;&lt;FQL&gt;&lt;Q&gt;PSX^JULIAN(FF_EPS(QTR_R,0).DATES)&lt;/Q&gt;&lt;R&gt;1&lt;/R&gt;&lt;C&gt;1&lt;/C&gt;&lt;D xsi:type="xsd:long"&gt;46022&lt;/D&gt;&lt;/FQL&gt;&lt;FQL&gt;&lt;Q&gt;PPG^FE_ESTIMATE(EPS,MEAN,QTR_ROLL,-0,0,,,'')&lt;/Q&gt;&lt;R&gt;1&lt;/R&gt;&lt;C&gt;1&lt;/C&gt;&lt;D xsi:type="xsd:double"&gt;1.51&lt;/D&gt;&lt;/FQL&gt;&lt;FQL&gt;&lt;Q&gt;PNW^FF_EPS(QTR_R,0)&lt;/Q&gt;&lt;R&gt;1&lt;/R&gt;&lt;C&gt;1&lt;/C&gt;&lt;D xsi:type="xsd:double"&gt;0.126&lt;/D&gt;&lt;/FQL&gt;&lt;FQL&gt;&lt;Q&gt;PM^JULIAN(FF_EPS(QTR_R,0).DATES)&lt;/Q&gt;&lt;R&gt;1&lt;/R&gt;&lt;C&gt;1&lt;/C&gt;&lt;D xsi:type="xsd:long"&gt;46022&lt;/D&gt;&lt;/FQL&gt;&lt;FQL&gt;&lt;Q&gt;PG^FE_ESTIMATE(EPS,MEAN,QTR_ROLL,-0,0,,,'')&lt;/Q&gt;&lt;R&gt;1&lt;/R&gt;&lt;C&gt;1&lt;/C&gt;&lt;D xsi:type="xsd:double"&gt;1.88&lt;/D&gt;&lt;/FQL&gt;&lt;FQL&gt;&lt;Q&gt;ORLY^FE_ESTIMATE(EPS,MEAN,QTR_ROLL,-0,0,,,'')&lt;/Q&gt;&lt;R&gt;1&lt;/R&gt;&lt;C&gt;1&lt;/C&gt;&lt;D xsi:type="xsd:double"&gt;0.71&lt;/D&gt;&lt;/FQL&gt;&lt;FQL&gt;&lt;Q&gt;O^FF_EPS(QTR_R,0)&lt;/Q&gt;&lt;R&gt;1&lt;/R&gt;&lt;C&gt;1&lt;/C&gt;&lt;D xsi:type="xsd:double"&gt;0.3206&lt;/D&gt;&lt;/FQL&gt;&lt;FQL&gt;&lt;Q&gt;NWS^JULIAN(FF_EPS(QTR_R,0).DATES)&lt;/Q&gt;&lt;R&gt;1&lt;/R&gt;&lt;C&gt;1&lt;/C&gt;&lt;D xsi:type="xsd:long"&gt;46022&lt;/D&gt;&lt;/FQL&gt;&lt;FQL&gt;&lt;Q&gt;NRG^FE_ESTIMATE(EPS,MEAN,QTR_ROLL,-0,0,,,'')&lt;/Q&gt;&lt;R&gt;1&lt;/R&gt;&lt;C&gt;1&lt;/C&gt;&lt;D xsi:type="xsd:double"&gt;1.03&lt;/D&gt;&lt;/FQL&gt;&lt;FQL&gt;&lt;Q&gt;NEM^JULIAN(FF_EPS(QTR_R,0).DATES)&lt;/Q&gt;&lt;R&gt;1&lt;/R&gt;&lt;C&gt;1&lt;/C&gt;&lt;D xsi:type="xsd:long"&gt;46022&lt;/D&gt;&lt;/FQL&gt;&lt;FQL&gt;&lt;Q&gt;MSFT^FF_EPS(QTR_R,0)&lt;/Q&gt;&lt;R&gt;1&lt;/R&gt;&lt;C&gt;1&lt;/C&gt;&lt;D xsi:type="xsd:double"&gt;5.1552&lt;/D&gt;&lt;/FQL&gt;&lt;FQL&gt;&lt;Q&gt;MO^FE_ESTIMATE(EPS,MEAN,QTR_ROLL,-0,0,,,'')&lt;/Q&gt;&lt;R&gt;1&lt;/R&gt;&lt;C&gt;1&lt;/C&gt;&lt;D xsi:type="xsd:double"&gt;1.3&lt;/D&gt;&lt;/FQL&gt;&lt;FQL&gt;&lt;Q&gt;MMC^FF_EPS(QTR_R,0)&lt;/Q&gt;&lt;R&gt;1&lt;/R&gt;&lt;C&gt;1&lt;/C&gt;&lt;D xsi:type="xsd:double"&gt;1.6755&lt;/D&gt;&lt;/FQL&gt;&lt;FQL&gt;&lt;Q&gt;META^JULIAN(FF_EPS(QTR_R,0).DATES)&lt;/Q&gt;&lt;R&gt;1&lt;/R&gt;&lt;C&gt;1&lt;/C&gt;&lt;D xsi:type="xsd:long"&gt;46022&lt;/D&gt;&lt;/FQL&gt;&lt;FQL&gt;&lt;Q&gt;MCO^FE_ESTIMATE(EPS,MEAN,QTR_ROLL,-0,0,,,'')&lt;/Q&gt;&lt;R&gt;1&lt;/R&gt;&lt;C&gt;1&lt;/C&gt;&lt;D xsi:type="xsd:double"&gt;3.64&lt;/D&gt;&lt;/FQL&gt;&lt;FQL&gt;&lt;Q&gt;MAA^FF_EPS(QTR_R,0)&lt;/Q&gt;&lt;R&gt;1&lt;/R&gt;&lt;C&gt;1&lt;/C&gt;&lt;D xsi:type="xsd:double"&gt;0.4835&lt;/D&gt;&lt;/FQL&gt;&lt;FQL&gt;&lt;Q&gt;LULU^FE_ESTIMATE(EPS,MEAN,QTR_ROLL,-0,0,,,'')&lt;/Q&gt;&lt;R&gt;1&lt;/R&gt;&lt;C&gt;1&lt;/C&gt;&lt;D xsi:type="xsd:double"&gt;5.01&lt;/D&gt;&lt;/FQL&gt;&lt;FQL&gt;&lt;Q&gt;LKQ^FF_EPS(QTR_R,0)&lt;/Q&gt;&lt;R&gt;1&lt;/R&gt;&lt;C&gt;1&lt;/C&gt;&lt;D xsi:type="xsd:double"&gt;0.2578&lt;/D&gt;&lt;/FQL&gt;&lt;FQL&gt;&lt;Q&gt;LH^JULIAN(FF_EPS(QTR_R,0).DATES)&lt;/Q&gt;&lt;R&gt;1&lt;/R&gt;&lt;C&gt;1&lt;/C&gt;&lt;D xsi:type="xsd:long"&gt;46022&lt;/D&gt;&lt;/FQL&gt;&lt;FQL&gt;&lt;Q&gt;L^JULIAN(FF_EPS(QTR_R,0).DATES)&lt;/Q&gt;&lt;R&gt;1&lt;/R&gt;&lt;C&gt;1&lt;/C&gt;&lt;D xsi:type="xsd:long"&gt;46022&lt;/D&gt;&lt;/FQL&gt;&lt;FQL&gt;&lt;Q&gt;KO^JULIAN(FF_EPS(QTR_R,0).DATES)&lt;/Q&gt;&lt;R&gt;1&lt;/R&gt;&lt;C&gt;1&lt;/C&gt;&lt;D xsi:type="xsd:long"&gt;46022&lt;/D&gt;&lt;/FQL&gt;&lt;FQL&gt;&lt;Q&gt;KMB^JULIAN(FF_EPS(QTR_R,0).DATES)&lt;/Q&gt;&lt;R&gt;1&lt;/R&gt;&lt;C&gt;1&lt;/C&gt;&lt;D xsi:type="xsd:long"&gt;46022&lt;/D&gt;&lt;/FQL&gt;&lt;FQL&gt;&lt;Q&gt;INCY^FE_ESTIMATE(EPS,MEAN,QTR_ROLL,-0,0,,,'')&lt;/Q&gt;&lt;R&gt;1&lt;/R&gt;&lt;C&gt;1&lt;/C&gt;&lt;D xsi:type="xsd:double"&gt;1.8&lt;/D&gt;&lt;/FQL&gt;&lt;FQL&gt;&lt;Q&gt;IEX^FE_ESTIMATE(EPS,MEAN,QTR_ROLL,-0,0,,,'')&lt;/Q&gt;&lt;R&gt;1&lt;/R&gt;&lt;C&gt;1&lt;/C&gt;&lt;D xsi:type="xsd:double"&gt;2.1&lt;/D&gt;&lt;/FQL&gt;&lt;FQL&gt;&lt;Q&gt;IBM^FE_ESTIMATE(EPS,MEAN,QTR_ROLL,-0,0,,,'')&lt;/Q&gt;&lt;R&gt;1&lt;/R&gt;&lt;C&gt;1&lt;/C&gt;&lt;D xsi:type="xsd:double"&gt;4.52&lt;/D&gt;&lt;/FQL&gt;&lt;FQL&gt;&lt;Q&gt;HAS^FF_EPS(QTR_R,0)&lt;/Q&gt;&lt;R&gt;1&lt;/R&gt;&lt;C&gt;1&lt;/C&gt;&lt;D xsi:type="xsd:double"&gt;1.4137&lt;/D&gt;&lt;/FQL&gt;&lt;FQL&gt;&lt;Q&gt;GS^FF_EPS(QTR_R,0)&lt;/Q&gt;&lt;R&gt;1&lt;/R&gt;&lt;C&gt;1&lt;/C&gt;&lt;D xsi:type="xsd:double"&gt;14.0109&lt;/D&gt;&lt;/FQL&gt;&lt;FQL&gt;&lt;Q&gt;GPC^FF_EPS(QTR_R,0)&lt;/Q&gt;&lt;R&gt;1&lt;/R&gt;&lt;C&gt;1&lt;/C&gt;&lt;D xsi:type="xsd:double"&gt;-4.3879&lt;/D&gt;&lt;/FQL&gt;&lt;FQL&gt;&lt;Q&gt;GNRC^FF_EPS(QTR_R,0)&lt;/Q&gt;&lt;R&gt;1&lt;/R&gt;&lt;C&gt;1&lt;/C&gt;&lt;D xsi:type="xsd:double"&gt;-0.4196&lt;/D&gt;&lt;/FQL&gt;&lt;FQL&gt;&lt;Q&gt;GL^FF_EPS(QTR_R,0)&lt;/Q&gt;&lt;R&gt;1&lt;/R&gt;&lt;C&gt;1&lt;/C&gt;&lt;D xsi:type="xsd:double"&gt;3.293&lt;/D&gt;&lt;/FQL&gt;&lt;FQL&gt;&lt;Q&gt;GEV^FF_EPS(QTR_R,0)&lt;/Q&gt;&lt;R&gt;1&lt;/R&gt;&lt;C&gt;1&lt;/C&gt;&lt;D xsi:type="xsd:double"&gt;13.3723&lt;/D&gt;&lt;/FQL&gt;&lt;FQL&gt;&lt;Q&gt;GE^FF_EPS(QTR_R,0)&lt;/Q&gt;&lt;R&gt;1&lt;/R&gt;&lt;C&gt;1&lt;/C&gt;&lt;D xsi:type="xsd:double"&gt;2.3887&lt;/D&gt;&lt;/FQL&gt;&lt;FQL&gt;&lt;Q&gt;FRT^FF_EPS(QTR_R,0)&lt;/Q&gt;&lt;R&gt;1&lt;/R&gt;&lt;C&gt;1&lt;/C&gt;&lt;D xsi:type="xsd:double"&gt;1.4812&lt;/D&gt;&lt;/FQL&gt;&lt;FQL&gt;&lt;Q&gt;FIS^FE_ESTIMATE(EPS,MEAN,QTR_ROLL,-0,0,,,'')&lt;/Q&gt;&lt;R&gt;1&lt;/R&gt;&lt;C&gt;1&lt;/C&gt;&lt;D xsi:type="xsd:double"&gt;1.68&lt;/D&gt;&lt;/FQL&gt;&lt;FQL&gt;&lt;Q&gt;FFIV^FE_ESTIMATE(EPS,MEAN,QTR_ROLL,-0,0,,,'')&lt;/Q&gt;&lt;R&gt;1&lt;/R&gt;&lt;C&gt;1&lt;/C&gt;&lt;D xsi:type="xsd:double"&gt;4.45&lt;/D&gt;&lt;/FQL&gt;&lt;FQL&gt;&lt;Q&gt;FCNCA^JULIAN(FF_EPS(QTR_R,0).DATES)&lt;/Q&gt;&lt;R&gt;1&lt;/R&gt;&lt;C&gt;1&lt;/C&gt;&lt;D xsi:type="xsd:long"&gt;46022&lt;/D&gt;&lt;/FQL&gt;&lt;FQL&gt;&lt;Q&gt;ZBH^FF_EPS(QTR_R,0)&lt;/Q&gt;&lt;R&gt;1&lt;/R&gt;&lt;C&gt;1&lt;/C&gt;&lt;D xsi:type="xsd:double"&gt;0.7032&lt;/D&gt;&lt;/FQL&gt;&lt;FQL&gt;&lt;Q&gt;XOM^JULIAN(FF_EPS(QTR_R,0).DATES)&lt;/Q&gt;&lt;R&gt;1&lt;/R&gt;&lt;C&gt;1&lt;/C&gt;&lt;D xsi:type="xsd:long"&gt;46022&lt;/D&gt;&lt;/FQL&gt;&lt;FQL&gt;&lt;Q&gt;WTW^FE_ESTIMATE(EPS,MEAN,QTR_ROLL,-0,0,,,'')&lt;/Q&gt;&lt;R&gt;1&lt;/R&gt;&lt;C&gt;1&lt;/C&gt;&lt;D xsi:type="xsd:double"&gt;8.12&lt;/D&gt;&lt;/FQL&gt;&lt;FQL&gt;&lt;Q&gt;WBD^FF_EPS(QTR_R,0)&lt;/Q&gt;&lt;R&gt;1&lt;/R&gt;&lt;C&gt;1&lt;/C&gt;&lt;D xsi:type="xsd:double"&gt;-0.1012&lt;/D&gt;&lt;/FQL&gt;&lt;FQL&gt;&lt;Q&gt;VRSK^FE_ESTIMATE(EPS,MEAN,QTR_ROLL,-0,0,,,'')&lt;/Q&gt;&lt;R&gt;1&lt;/R&gt;&lt;C&gt;1&lt;/C&gt;&lt;D xsi:type="xsd:double"&gt;1.82&lt;/D&gt;&lt;/FQL&gt;&lt;FQL&gt;&lt;Q&gt;USB^FF_EPS(QTR_R,0)&lt;/Q&gt;&lt;R&gt;1&lt;/R&gt;&lt;C&gt;1&lt;/C&gt;&lt;D xsi:type="xsd:double"&gt;1.2628&lt;/D&gt;&lt;/FQL&gt;&lt;FQL&gt;&lt;Q&gt;UNP^JULIAN(FF_EPS(QTR_R,0).DATES)&lt;/Q&gt;&lt;R&gt;1&lt;/R&gt;&lt;C&gt;1&lt;/C&gt;&lt;D xsi:type="xsd:long"&gt;46022&lt;/D&gt;&lt;/FQL&gt;&lt;FQL&gt;&lt;Q&gt;UDR^FE_ESTIMATE(EPS,MEAN,QTR_ROLL,-0,0,,,'')&lt;/Q&gt;&lt;R&gt;1&lt;/R&gt;&lt;C&gt;1&lt;/C&gt;&lt;D xsi:type="xsd:double"&gt;0.67&lt;/D&gt;&lt;/FQL&gt;&lt;FQL&gt;&lt;Q&gt;TTWO^FF_EPS(QTR_R,0)&lt;/Q&gt;&lt;R&gt;1&lt;/R&gt;&lt;C&gt;1&lt;/C&gt;&lt;D xsi:type="xsd:double"&gt;-0.5022&lt;/D&gt;&lt;/FQL&gt;&lt;FQL&gt;&lt;Q&gt;TSLA^JULIAN(FF_EPS(QTR_R,0).DATES)&lt;/Q&gt;&lt;R&gt;1&lt;/R&gt;&lt;C&gt;1&lt;/C&gt;&lt;D xsi:type="xsd:long"&gt;46022&lt;/D&gt;&lt;/FQL&gt;&lt;FQL&gt;&lt;Q&gt;TRMB^FE_ESTIMATE(EPS,MEAN,QTR_ROLL,-0,0,,,'')&lt;/Q&gt;&lt;R&gt;1&lt;/R&gt;&lt;C&gt;1&lt;/C&gt;&lt;D xsi:type="xsd:double"&gt;1&lt;/D&gt;&lt;/FQL&gt;&lt;FQL&gt;&lt;Q&gt;TER^JULIAN(FF_EPS(QTR_R,0).DATES)&lt;/Q&gt;&lt;R&gt;1&lt;/R&gt;&lt;C&gt;1&lt;/C&gt;&lt;D xsi:type="xsd:long"&gt;46022&lt;/D&gt;&lt;/FQL&gt;&lt;FQL&gt;&lt;Q&gt;SWKS^FF_EPS(QTR_R,0)&lt;/Q&gt;&lt;R&gt;1&lt;/R&gt;&lt;C&gt;1&lt;/C&gt;&lt;D xsi:type="xsd:double"&gt;0.5262&lt;/D&gt;&lt;/FQL&gt;&lt;FQL&gt;&lt;Q&gt;STE^JULIAN(FF_EPS(QTR_R,0).DATES)&lt;/Q&gt;&lt;R&gt;1&lt;/R&gt;&lt;C&gt;1&lt;/C&gt;&lt;D xsi:type="xsd:long"&gt;46022&lt;/D&gt;&lt;/FQL&gt;&lt;FQL&gt;&lt;Q&gt;SO^FE_ESTIMATE(EPS,MEAN,QTR_ROLL,-0,0,,,'')&lt;/Q&gt;&lt;R&gt;1&lt;/R&gt;&lt;C&gt;1&lt;/C&gt;&lt;D xsi:type="xsd:double"&gt;0.55&lt;/D&gt;&lt;/FQL&gt;&lt;FQL&gt;&lt;Q&gt;SMCI^FF_EPS(QTR_R,0)&lt;/Q&gt;&lt;R&gt;1&lt;/R&gt;&lt;C&gt;1&lt;/C&gt;&lt;D xsi:type="xsd:double"&gt;0.603&lt;/D&gt;&lt;/FQL&gt;&lt;FQL&gt;&lt;Q&gt;SBUX^JULIAN(FF_EPS(QTR_R,0).DATES)&lt;/Q&gt;&lt;R&gt;1&lt;/R&gt;&lt;C&gt;1&lt;/C&gt;&lt;D xsi:type="xsd:long"&gt;46022&lt;/D&gt;&lt;/FQL&gt;&lt;FQL&gt;&lt;Q&gt;ROL^FF_EPS(QTR_R,0)&lt;/Q&gt;&lt;R&gt;1&lt;/R&gt;&lt;C&gt;1&lt;/C&gt;&lt;D xsi:type="xsd:double"&gt;0.2412&lt;/D&gt;&lt;/FQL&gt;&lt;FQL&gt;&lt;Q&gt;QRVO^FE_ESTIMATE(EPS,MEAN,QTR_ROLL,-0,0,,,'')&lt;/Q&gt;&lt;R&gt;1&lt;/R&gt;&lt;C&gt;1&lt;/C&gt;&lt;D xsi:type="xsd:double"&gt;2.17&lt;/D&gt;&lt;/FQL&gt;&lt;FQL&gt;&lt;Q&gt;PRU^JULIAN(FF_EPS(QTR_R,0).DATES)&lt;/Q&gt;&lt;R&gt;1&lt;/R&gt;&lt;C&gt;1&lt;/C&gt;&lt;D xsi:type="xsd:long"&gt;46022&lt;/D&gt;&lt;/FQL&gt;&lt;FQL&gt;&lt;Q&gt;PNC^FE_ESTIMATE(EPS,MEAN,QTR_ROLL,-0,0,,,'')&lt;/Q&gt;&lt;R&gt;1&lt;/R&gt;&lt;C&gt;1&lt;/C&gt;&lt;D xsi:type="xsd:double"&gt;4.88&lt;/D&gt;&lt;/FQL&gt;&lt;FQL&gt;&lt;Q&gt;PH^JULIAN(FF_EPS(QTR_R,0).DATES)&lt;/Q&gt;&lt;R&gt;1&lt;/R&gt;&lt;C&gt;1&lt;/C&gt;&lt;D xsi:type="xsd:long"&gt;46022&lt;/D&gt;&lt;/FQL&gt;&lt;FQL&gt;&lt;Q&gt;PEAK^FE_ESTIMATE(EPS,MEAN,QTR_ROLL,-0,0,,,'')&lt;/Q&gt;&lt;R&gt;1&lt;/R&gt;&lt;C&gt;1&lt;/C&gt;&lt;D xsi:type="xsd:double"&gt;0.16&lt;/D&gt;&lt;/FQL&gt;&lt;FQL&gt;&lt;Q&gt;OXY^FF_EPS(QTR_R,0)&lt;/Q&gt;&lt;R&gt;1&lt;/R&gt;&lt;C&gt;1&lt;/C&gt;&lt;D xsi:type="xsd:double"&gt;-0.0688&lt;/D&gt;&lt;/FQL&gt;&lt;FQL&gt;&lt;Q&gt;ODFL^FE_ESTIMATE(EPS,MEAN,QTR_ROLL,-0,0,,,'')&lt;/Q&gt;&lt;R&gt;1&lt;/R&gt;&lt;C&gt;1&lt;/C&gt;&lt;D xsi:type="xsd:double"&gt;1.09&lt;/D&gt;&lt;/FQL&gt;&lt;FQL&gt;&lt;Q&gt;NWSA^FF_EPS(QTR_R,0)&lt;/Q&gt;&lt;R&gt;1&lt;/R&gt;&lt;C&gt;1&lt;/C&gt;&lt;D xsi:type="xsd:double"&gt;0.3434&lt;/D&gt;&lt;/FQL&gt;&lt;FQL&gt;&lt;Q&gt;NOC^FE_ESTIMATE(EPS,MEAN,QTR_ROLL,-0,0,,,'')&lt;/Q&gt;&lt;R&gt;1&lt;/R&gt;&lt;C&gt;1&lt;/C&gt;&lt;D xsi:type="xsd:double"&gt;7.23&lt;/D&gt;&lt;/FQL&gt;&lt;FQL&gt;&lt;Q&gt;NDSN^FF_EPS(QTR_R,0)&lt;/Q&gt;&lt;R&gt;1&lt;/R&gt;&lt;C&gt;1&lt;/C&gt;&lt;D xsi:type="xsd:double"&gt;2.3764&lt;/D&gt;&lt;/FQL&gt;&lt;FQL&gt;&lt;Q&gt;MSI^FE_ESTIMATE(EPS,MEAN,QTR_ROLL,-0,0,,,'')&lt;/Q&gt;&lt;R&gt;1&lt;/R&gt;&lt;C&gt;1&lt;/C&gt;&lt;D xsi:type="xsd:double"&gt;4.59&lt;/D&gt;&lt;/FQL&gt;&lt;FQL&gt;&lt;Q&gt;MRK^FF_EPS(QTR_R,0)&lt;/Q&gt;&lt;R&gt;1&lt;/R&gt;&lt;C&gt;1&lt;/C&gt;&lt;D xsi:type="xsd:double"&gt;1.1909&lt;/D&gt;&lt;/FQL&gt;&lt;FQL&gt;&lt;Q&gt;MNST^JULIAN(FF_EPS(QTR_R,0).DATES)&lt;/Q&gt;&lt;R&gt;1&lt;/R&gt;&lt;C&gt;1&lt;/C&gt;&lt;D xsi:type="xsd:long"&gt;46022&lt;/D&gt;&lt;/FQL&gt;&lt;FQL&gt;&lt;Q&gt;MKTX^FE_ESTIMATE(EPS,MEAN,QTR_ROLL,-0,0,,,'')&lt;/Q&gt;&lt;R&gt;1&lt;/R&gt;&lt;C&gt;1&lt;/C&gt;&lt;D xsi:type="xsd:double"&gt;1.68&lt;/D&gt;&lt;/FQL&gt;&lt;FQL&gt;&lt;Q&gt;MGM^FF_EPS(QTR_R,0)&lt;/Q&gt;&lt;R&gt;1&lt;/R&gt;&lt;C&gt;1&lt;/C&gt;&lt;D xsi:type="xsd:double"&gt;1.112&lt;/D&gt;&lt;/FQL&gt;&lt;FQL&gt;&lt;Q&gt;MDT^JULIAN(FF_EPS(QTR_R,0).DATES)&lt;/Q&gt;&lt;R&gt;1&lt;/R&gt;&lt;C&gt;1&lt;/C&gt;&lt;D xsi:type="xsd:long"&gt;46052&lt;/D&gt;&lt;/FQL&gt;&lt;FQL&gt;&lt;Q&gt;LYV^FF_EPS(QTR_R,0)&lt;/Q&gt;&lt;R&gt;1&lt;/R&gt;&lt;C&gt;1&lt;/C&gt;&lt;D xsi:type="xsd:double"&gt;-1.0498&lt;/D&gt;&lt;/FQL&gt;&lt;FQL&gt;&lt;Q&gt;LRCX^JULIAN(FF_EPS(QTR_R,0).DATES)&lt;/Q&gt;&lt;R&gt;1&lt;/R&gt;&lt;C&gt;1&lt;/C&gt;&lt;D xsi:type="xsd:long"&gt;46022&lt;/D&gt;&lt;/FQL&gt;&lt;FQL&gt;&lt;Q&gt;LDOS^FF_EPS(QTR_R,0)&lt;/Q&gt;&lt;R&gt;1&lt;/R&gt;&lt;C&gt;1&lt;/C&gt;&lt;D xsi:type="xsd:double"&gt;2.5349&lt;/D&gt;&lt;/FQL&gt;&lt;FQL&gt;&lt;Q&gt;KR^FF_EPS(QTR_R,0)&lt;/Q&gt;&lt;R&gt;1&lt;/R&gt;&lt;C&gt;1&lt;/C&gt;&lt;D xsi:type="xsd:double"&gt;1.35&lt;/D&gt;&lt;/FQL&gt;&lt;FQL&gt;&lt;Q&gt;KMI^FF_EPS(QTR_R,0)&lt;/Q&gt;&lt;R&gt;1&lt;/R&gt;&lt;C&gt;1&lt;/C&gt;&lt;D xsi:type="xsd:double"&gt;0.4454&lt;/D&gt;&lt;/FQL&gt;&lt;FQL&gt;&lt;Q&gt;KIM^FF_EPS(QTR_R,0)&lt;/Q&gt;&lt;R&gt;1&lt;/R&gt;&lt;C&gt;1&lt;/C&gt;&lt;D xsi:type="xsd:double"&gt;0.2121&lt;/D&gt;&lt;/FQL&gt;&lt;FQL&gt;&lt;Q&gt;KEY^FF_EPS(QTR_R,0)&lt;/Q&gt;&lt;R&gt;1&lt;/R&gt;&lt;C&gt;1&lt;/C&gt;&lt;D xsi:type="xsd:double"&gt;0.4294&lt;/D&gt;&lt;/FQL&gt;&lt;FQL&gt;&lt;Q&gt;JPM^FF_EPS(QTR_R,0)&lt;/Q&gt;&lt;R&gt;1&lt;/R&gt;&lt;C&gt;1&lt;/C&gt;&lt;D xsi:type="xsd:double"&gt;4.6302&lt;/D&gt;&lt;/FQL&gt;&lt;FQL&gt;&lt;Q&gt;JBHT^JULIAN(FF_EPS(QTR_R,0).DATES)&lt;/Q&gt;&lt;R&gt;1&lt;/R&gt;&lt;C&gt;1&lt;/C&gt;&lt;D xsi:type="xsd:long"&gt;46022&lt;/D&gt;&lt;/FQL&gt;&lt;FQL&gt;&lt;Q&gt;ITW^JULIAN(FF_EPS(QTR_R,0).DATES)&lt;/Q&gt;&lt;R&gt;1&lt;/R&gt;&lt;C&gt;1&lt;/C&gt;&lt;D xsi:type="xsd:long"&gt;46022&lt;/D&gt;&lt;/FQL&gt;&lt;FQL&gt;&lt;Q&gt;IRM^JULIAN(FF_EPS(QTR_R,0).DATES)&lt;/Q&gt;&lt;R&gt;1&lt;/R&gt;&lt;C&gt;1&lt;/C&gt;&lt;D xsi:type="xsd:long"&gt;46022&lt;/D&gt;&lt;/FQL&gt;&lt;FQL&gt;&lt;Q&gt;IPG^JULIAN(FF_EPS(QTR_R,0).DATES)&lt;/Q&gt;&lt;R&gt;1&lt;/R&gt;&lt;C&gt;1&lt;/C&gt;&lt;D xsi:type="xsd:long"&gt;45930&lt;/D&gt;&lt;/FQL&gt;&lt;FQL&gt;&lt;Q&gt;INTU^JULIAN(FF_EPS(QTR_R,0).DATES)&lt;/Q&gt;&lt;R&gt;1&lt;/R&gt;&lt;C&gt;1&lt;/C&gt;&lt;D xsi:type="xsd:long"&gt;46052&lt;/D&gt;&lt;/FQL&gt;&lt;FQL&gt;&lt;Q&gt;ILMN^JULIAN(FF_EPS(QTR_R,0).DATES)&lt;/Q&gt;&lt;R&gt;1&lt;/R&gt;&lt;C&gt;1&lt;/C&gt;&lt;D xsi:type="xsd:long"&gt;46022&lt;/D&gt;&lt;/FQL&gt;&lt;FQL&gt;&lt;Q&gt;IDXX^JULIAN(FF_EPS(QTR_R,0).DATES)&lt;/Q&gt;&lt;R&gt;1&lt;/R&gt;&lt;C&gt;1&lt;/C&gt;&lt;D xsi:type="xsd:long"&gt;46022&lt;/D&gt;&lt;/FQL&gt;&lt;FQL&gt;&lt;Q&gt;FOX^FE_ESTIMATE(EPS,MEAN,QTR_ROLL,-0,0,,,'')&lt;/Q&gt;&lt;R&gt;1&lt;/R&gt;&lt;C&gt;1&lt;/C&gt;&lt;D xsi:type="xsd:double"&gt;0.82&lt;/D&gt;&lt;/FQL&gt;&lt;FQL&gt;&lt;Q&gt;FICO^JULIAN(FF_EPS(QTR_R,0).DATES)&lt;/Q&gt;&lt;R&gt;1&lt;/R&gt;&lt;C&gt;1&lt;/C&gt;&lt;D xsi:type="xsd:long"&gt;46022&lt;/D&gt;&lt;/FQL&gt;&lt;FQL&gt;&lt;Q&gt;FCX^FF_EPS(QTR_R,0)&lt;/Q&gt;&lt;R&gt;1&lt;/R&gt;&lt;C&gt;1&lt;/C&gt;&lt;D xsi:type="xsd:double"&gt;0.2814&lt;/D&gt;&lt;/FQL&gt;&lt;FQL&gt;&lt;Q&gt;EXPE^FE_ESTIMATE(EPS,MEAN,QTR_ROLL,-0,0,,,'')&lt;/Q&gt;&lt;R&gt;1&lt;/R&gt;&lt;C&gt;1&lt;/C&gt;&lt;D xsi:type="xsd:double"&gt;3.78&lt;/D&gt;&lt;/FQL&gt;&lt;FQL&gt;&lt;Q&gt;ETR^JULIAN(FF_EPS(QTR_R,0).DATES)&lt;/Q&gt;&lt;R&gt;1&lt;/R&gt;&lt;C&gt;1&lt;/C&gt;&lt;D xsi:type="xsd:long"&gt;46022&lt;/D&gt;&lt;/FQL&gt;&lt;FQL&gt;&lt;Q&gt;ES^JULIAN(FF_EPS(QTR_R,0).DATES)&lt;/Q&gt;&lt;R&gt;1&lt;/R&gt;&lt;C&gt;1&lt;/C&gt;&lt;D xsi:type="xsd:long"&gt;46022&lt;/D&gt;&lt;/FQL&gt;&lt;FQL&gt;&lt;Q&gt;ENPH^FF_EPS(QTR_R,0)&lt;/Q&gt;&lt;R&gt;1&lt;/R&gt;&lt;C&gt;1&lt;/C&gt;&lt;D xsi:type="xsd:double"&gt;0.2956&lt;/D&gt;&lt;/FQL&gt;&lt;FQL&gt;&lt;Q&gt;ED^FE_ESTIMATE(EPS,MEAN,QTR_ROLL,-0,0,,,'')&lt;/Q&gt;&lt;R&gt;1&lt;/R&gt;&lt;C&gt;1&lt;/C&gt;&lt;D xsi:type="xsd:double"&gt;0.89&lt;/D&gt;&lt;/FQL&gt;&lt;FQL&gt;&lt;Q&gt;DVN^JULIAN(FF_EPS(QTR_R,0).DATES)&lt;/Q&gt;&lt;R&gt;1&lt;/R&gt;&lt;C&gt;1&lt;/C&gt;&lt;D xsi:type="xsd:long"&gt;46022&lt;/D&gt;&lt;/FQL&gt;&lt;FQL&gt;&lt;Q&gt;DOW^FF_EPS(QTR_R,0)&lt;/Q&gt;&lt;R&gt;1&lt;/R&gt;&lt;C&gt;1&lt;/C&gt;&lt;D xsi:type="xsd:double"&gt;-2.1512&lt;/D&gt;&lt;/FQL&gt;&lt;FQL&gt;&lt;Q&gt;DGX^FE_ESTIMATE(EPS,MEAN,QTR_ROLL,-0,0,,,'')&lt;/Q&gt;&lt;R&gt;1&lt;/R&gt;&lt;C&gt;1&lt;/C&gt;&lt;D xsi:type="xsd:double"&gt;2.42&lt;/D&gt;&lt;/FQL&gt;&lt;FQL&gt;&lt;Q&gt;DD^JULIAN(FF_EPS(QTR_R,0).DATES)&lt;/Q&gt;&lt;R&gt;1&lt;/R&gt;&lt;C&gt;1&lt;/C&gt;&lt;D xsi:type="xsd:long"&gt;46022&lt;/D&gt;&lt;/FQL&gt;&lt;FQL&gt;&lt;Q&gt;CVS^FF_EPS(QTR_R,0)&lt;/Q&gt;&lt;R&gt;1&lt;/R&gt;&lt;C&gt;1&lt;/C&gt;&lt;D xsi:type="xsd:double"&gt;2.3046&lt;/D&gt;&lt;/FQL&gt;&lt;FQL&gt;&lt;Q&gt;CTRA^FF_EPS(QTR_R,0)&lt;/Q&gt;&lt;R&gt;1&lt;/R&gt;&lt;C&gt;1&lt;/C&gt;&lt;D xsi:type="xsd:double"&gt;0.4817&lt;/D&gt;&lt;/FQL&gt;&lt;FQL&gt;&lt;Q&gt;CRWD^FE_ESTIMATE(EPS,MEAN,QTR_ROLL,-0,0,,,'')&lt;/Q&gt;&lt;R&gt;1&lt;/R&gt;&lt;C&gt;1&lt;/C&gt;&lt;D xsi:type="xsd:double"&gt;1.12&lt;/D&gt;&lt;/FQL&gt;&lt;FQL&gt;&lt;Q&gt;CPB^JULIAN(FF_EPS(QTR_R,0).DATES)&lt;/Q&gt;&lt;R&gt;1&lt;/R&gt;&lt;C&gt;1&lt;/C&gt;&lt;D xsi:type="xsd:long"&gt;46052&lt;/D&gt;&lt;/FQL&gt;&lt;FQL&gt;&lt;Q&gt;COF^FF_EPS(QTR_R,0)&lt;/Q&gt;&lt;R&gt;1&lt;/R&gt;&lt;C&gt;1&lt;/C&gt;&lt;D xsi:type="xsd:double"&gt;3.2568&lt;/D&gt;&lt;/FQL&gt;&lt;FQL&gt;&lt;Q&gt;CME^FE_ESTIMATE(EPS,MEAN,QTR_ROLL,-0,0,,,'')&lt;/Q&gt;&lt;R&gt;1&lt;/R&gt;&lt;C&gt;1&lt;/C&gt;&lt;D xsi:type="xsd:double"&gt;2.77&lt;/D&gt;&lt;/FQL&gt;&lt;FQL&gt;&lt;Q&gt;CINF^JULIAN(FF_EPS(QTR_R,0).DATES)&lt;/Q&gt;&lt;R&gt;1&lt;/R&gt;&lt;C&gt;1&lt;/C&gt;&lt;D xsi:type="xsd:long"&gt;46022&lt;/D&gt;&lt;/FQL&gt;&lt;FQL&gt;&lt;Q&gt;CF^FF_EPS(QTR_R,0)&lt;/Q&gt;&lt;R&gt;1&lt;/R&gt;&lt;C&gt;1&lt;/C&gt;&lt;D xsi:type="xsd:double"&gt;2.5881&lt;/D&gt;&lt;/FQL&gt;&lt;FQL&gt;&lt;Q&gt;CCL^FE_ESTIMATE(EPS,MEAN,QTR_ROLL,-0,0,,,'')&lt;/Q&gt;&lt;R&gt;1&lt;/R&gt;&lt;C&gt;1&lt;/C&gt;&lt;D xsi:type="xsd:double"&gt;0.2&lt;/D&gt;&lt;/FQL&gt;&lt;FQL&gt;&lt;Q&gt;CBOE^FE_ESTIMATE(EPS,MEAN,QTR_ROLL,-0,0,,,'')&lt;/Q&gt;&lt;R&gt;1&lt;/R&gt;&lt;C&gt;1&lt;/C&gt;&lt;D xsi:type="xsd:double"&gt;3.06&lt;/D&gt;&lt;/FQL&gt;&lt;FQL&gt;&lt;Q&gt;CAG^JULIAN(FF_EPS(QTR_R,0).DATES)&lt;/Q&gt;&lt;R&gt;1&lt;/R&gt;&lt;C&gt;1&lt;/C&gt;&lt;D xsi:type="xsd:long"&gt;45989&lt;/D&gt;&lt;/FQL&gt;&lt;FQL&gt;&lt;Q&gt;BRO^FF_EPS(QTR_R,0)&lt;/Q&gt;&lt;R&gt;1&lt;/R&gt;&lt;C&gt;1&lt;/C&gt;&lt;D xsi:type="xsd:double"&gt;0.59&lt;/D&gt;&lt;/FQL&gt;&lt;FQL&gt;&lt;Q&gt;BKR^FE_ESTIMATE(EPS,MEAN,QTR_ROLL,-0,0,,,'')&lt;/Q&gt;&lt;R&gt;1&lt;/R&gt;&lt;C&gt;1&lt;/C&gt;&lt;D xsi:type="xsd:double"&gt;0.78&lt;/D&gt;&lt;/FQL&gt;&lt;FQL&gt;&lt;Q&gt;BG^JULIAN(FF_EPS(QTR_R,0).DATES)&lt;/Q&gt;&lt;R&gt;1&lt;/R&gt;&lt;C&gt;1&lt;/C&gt;&lt;D xsi:type="xsd:long"&gt;46022&lt;/D&gt;&lt;/FQL&gt;&lt;FQL&gt;&lt;Q&gt;BAX^FF_EPS(QTR_R,0)&lt;/Q&gt;&lt;R&gt;1&lt;/R&gt;&lt;C&gt;1&lt;/C&gt;&lt;D xsi:type="xsd:double"&gt;-2.1595&lt;/D&gt;&lt;/FQL&gt;&lt;FQL&gt;&lt;Q&gt;AVY^FE_ESTIMATE(EPS,MEAN,QTR_ROLL,-0,0,,,'')&lt;/Q&gt;&lt;R&gt;1&lt;/R&gt;&lt;C&gt;1&lt;/C&gt;&lt;D xsi:type="xsd:double"&gt;2.45&lt;/D&gt;&lt;/FQL&gt;&lt;FQL&gt;&lt;Q&gt;ARE^JULIAN(FF_EPS(QTR_R,0).DATES)&lt;/Q&gt;&lt;R&gt;1&lt;/R&gt;&lt;C&gt;1&lt;/C&gt;&lt;D xsi:type="xsd:long"&gt;46022&lt;/D&gt;&lt;/FQL&gt;&lt;FQL&gt;&lt;Q&gt;APD^JULIAN(FF_EPS(QTR_R,0).DATES)&lt;/Q&gt;&lt;R&gt;1&lt;/R&gt;&lt;C&gt;1&lt;/C&gt;&lt;D xsi:type="xsd:long"&gt;46022&lt;/D&gt;&lt;/FQL&gt;&lt;FQL&gt;&lt;Q&gt;AMZN^FF_EPS(QTR_R,0)&lt;/Q&gt;&lt;R&gt;1&lt;/R&gt;&lt;C&gt;1&lt;/C&gt;&lt;D xsi:type="xsd:double"&gt;1.9508&lt;/D&gt;&lt;/FQL&gt;&lt;FQL&gt;&lt;Q&gt;AMCR^FE_ESTIMATE(EPS,MEAN,QTR_ROLL,-0,0,,,'')&lt;/Q&gt;&lt;R&gt;1&lt;/R&gt;&lt;C&gt;1&lt;/C&gt;&lt;D xsi:type="xsd:double"&gt;0.86&lt;/D&gt;&lt;/FQL&gt;&lt;FQL&gt;&lt;Q&gt;ALB^JULIAN(FF_EPS(QTR_R,0).DATES)&lt;/Q&gt;&lt;R&gt;1&lt;/R&gt;&lt;C&gt;1&lt;/C&gt;&lt;D xsi:type="xsd:long"&gt;46022&lt;/D&gt;&lt;/FQL&gt;&lt;FQL&gt;&lt;Q&gt;AES^FF_EPS(QTR_R,0)&lt;/Q&gt;&lt;R&gt;1&lt;/R&gt;&lt;C&gt;1&lt;/C&gt;&lt;D xsi:type="xsd:double"&gt;0.4591&lt;/D&gt;&lt;/FQL&gt;&lt;FQL&gt;&lt;Q&gt;ADI^FE_ESTIMATE(EPS,MEAN,QTR_ROLL,-0,0,,,'')&lt;/Q&gt;&lt;R&gt;1&lt;/R&gt;&lt;C&gt;1&lt;/C&gt;&lt;D xsi:type="xsd:double"&gt;2.46&lt;/D&gt;&lt;/FQL&gt;&lt;FQL&gt;&lt;Q&gt;ABNB^JULIAN(FF_EPS(QTR_R,0).DATES)&lt;/Q&gt;&lt;R&gt;1&lt;/R&gt;&lt;C&gt;1&lt;/C&gt;&lt;D xsi:type="xsd:long"&gt;46022&lt;/D&gt;&lt;/FQL&gt;&lt;FQL&gt;&lt;Q&gt;XEL^FG_COMPANY_NAME&lt;/Q&gt;&lt;R&gt;1&lt;/R&gt;&lt;C&gt;1&lt;/C&gt;&lt;D xsi:type="xsd:string"&gt;Xcel Energy Inc.&lt;/D&gt;&lt;/FQL&gt;&lt;FQL&gt;&lt;Q&gt;WFC^FG_COMPANY_NAME&lt;/Q&gt;&lt;R&gt;1&lt;/R&gt;&lt;C&gt;1&lt;/C&gt;&lt;D xsi:type="xsd:string"&gt;Wells Fargo &amp;amp; Company&lt;/D&gt;&lt;/FQL&gt;&lt;FQL&gt;&lt;Q&gt;VLO^FG_COMPANY_NAME&lt;/Q&gt;&lt;R&gt;1&lt;/R&gt;&lt;C&gt;1&lt;/C&gt;&lt;D xsi:type="xsd:string"&gt;Valero Energy Corporation&lt;/D&gt;&lt;/FQL&gt;&lt;FQL&gt;&lt;Q&gt;TT^FG_COMPANY_NAME&lt;/Q&gt;&lt;R&gt;1&lt;/R&gt;&lt;C&gt;1&lt;/C&gt;&lt;D xsi:type="xsd:string"&gt;Trane Technologies plc&lt;/D&gt;&lt;/FQL&gt;&lt;FQL&gt;&lt;Q&gt;TECH^FG_COMPANY_NAME&lt;/Q&gt;&lt;R&gt;1&lt;/R&gt;&lt;C&gt;1&lt;/C&gt;&lt;D xsi:type="xsd:string"&gt;Bio-Techne Corporation&lt;/D&gt;&lt;/FQL&gt;&lt;FQL&gt;&lt;Q&gt;SPG^FG_COMPANY_NAME&lt;/Q&gt;&lt;R&gt;1&lt;/R&gt;&lt;C&gt;1&lt;/C&gt;&lt;D xsi:type="xsd:string"&gt;Simon Property Group, Inc.&lt;/D&gt;&lt;/FQL&gt;&lt;FQL&gt;&lt;Q&gt;ROL^FG_COMPANY_NAME&lt;/Q&gt;&lt;R&gt;1&lt;/R&gt;&lt;C&gt;1&lt;/C&gt;&lt;D xsi:type="xsd:string"&gt;Rollins, Inc.&lt;/D&gt;&lt;/FQL&gt;&lt;FQL&gt;&lt;Q&gt;RE^FG_COMPANY_NAME&lt;/Q&gt;&lt;R&gt;1&lt;/R&gt;&lt;C&gt;1&lt;/C&gt;&lt;D xsi:type="xsd:string"&gt;Everest Group, Ltd.&lt;/D&gt;&lt;/FQL&gt;&lt;FQL&gt;&lt;Q&gt;PTC^FG_COMPANY_NAME&lt;/Q&gt;&lt;R&gt;1&lt;/R&gt;&lt;C&gt;1&lt;/C&gt;&lt;D xsi:type="xsd:string"&gt;PTC Inc.&lt;/D&gt;&lt;/FQL&gt;&lt;FQL&gt;&lt;Q&gt;PNW^FG_COMPANY_NAME&lt;/Q&gt;&lt;R&gt;1&lt;/R&gt;&lt;C&gt;1&lt;/C&gt;&lt;D xsi:type="xsd:string"&gt;Pinnacle West Capital Corp&lt;/D&gt;&lt;/FQL&gt;&lt;FQL&gt;&lt;Q&gt;PH^FG_COMPANY_NAME&lt;/</t>
        </r>
      </text>
    </comment>
    <comment ref="A2" authorId="0" shapeId="0" xr:uid="{8F0B806E-095F-4A23-8134-E3AF8776F42E}">
      <text>
        <r>
          <rPr>
            <b/>
            <sz val="9"/>
            <color indexed="81"/>
            <rFont val="Tahoma"/>
            <charset val="1"/>
          </rPr>
          <t>Q&gt;&lt;R&gt;1&lt;/R&gt;&lt;C&gt;1&lt;/C&gt;&lt;D xsi:type="xsd:string"&gt;Parker-Hannifin Corporation&lt;/D&gt;&lt;/FQL&gt;&lt;FQL&gt;&lt;Q&gt;PCG^FG_COMPANY_NAME&lt;/Q&gt;&lt;R&gt;1&lt;/R&gt;&lt;C&gt;1&lt;/C&gt;&lt;D xsi:type="xsd:string"&gt;PG&amp;amp;E Corporation&lt;/D&gt;&lt;/FQL&gt;&lt;FQL&gt;&lt;Q&gt;ORCL^FG_COMPANY_NAME&lt;/Q&gt;&lt;R&gt;1&lt;/R&gt;&lt;C&gt;1&lt;/C&gt;&lt;D xsi:type="xsd:string"&gt;Oracle Corporation&lt;/D&gt;&lt;/FQL&gt;&lt;FQL&gt;&lt;Q&gt;NWS^FG_COMPANY_NAME&lt;/Q&gt;&lt;R&gt;1&lt;/R&gt;&lt;C&gt;1&lt;/C&gt;&lt;D xsi:type="xsd:string"&gt;News Corporation Class B&lt;/D&gt;&lt;/FQL&gt;&lt;FQL&gt;&lt;Q&gt;NOW^FG_COMPANY_NAME&lt;/Q&gt;&lt;R&gt;1&lt;/R&gt;&lt;C&gt;1&lt;/C&gt;&lt;D xsi:type="xsd:string"&gt;ServiceNow, Inc.&lt;/D&gt;&lt;/FQL&gt;&lt;FQL&gt;&lt;Q&gt;NDAQ^FG_COMPANY_NAME&lt;/Q&gt;&lt;R&gt;1&lt;/R&gt;&lt;C&gt;1&lt;/C&gt;&lt;D xsi:type="xsd:string"&gt;Nasdaq, Inc.&lt;/D&gt;&lt;/FQL&gt;&lt;FQL&gt;&lt;Q&gt;MSCI^FG_COMPANY_NAME&lt;/Q&gt;&lt;R&gt;1&lt;/R&gt;&lt;C&gt;1&lt;/C&gt;&lt;D xsi:type="xsd:string"&gt;MSCI Inc. Class A&lt;/D&gt;&lt;/FQL&gt;&lt;FQL&gt;&lt;Q&gt;MOH^FG_COMPANY_NAME&lt;/Q&gt;&lt;R&gt;1&lt;/R&gt;&lt;C&gt;1&lt;/C&gt;&lt;D xsi:type="xsd:string"&gt;Molina Healthcare, Inc.&lt;/D&gt;&lt;/FQL&gt;&lt;FQL&gt;&lt;Q&gt;MHK^FG_COMPANY_NAME&lt;/Q&gt;&lt;R&gt;1&lt;/R&gt;&lt;C&gt;1&lt;/C&gt;&lt;D xsi:type="xsd:string"&gt;Mohawk Industries, Inc.&lt;/D&gt;&lt;/FQL&gt;&lt;FQL&gt;&lt;Q&gt;MCHP^FG_COMPANY_NAME&lt;/Q&gt;&lt;R&gt;1&lt;/R&gt;&lt;C&gt;1&lt;/C&gt;&lt;D xsi:type="xsd:string"&gt;Microchip Technology Incorporated&lt;/D&gt;&lt;/FQL&gt;&lt;FQL&gt;&lt;Q&gt;LW^FG_COMPANY_NAME&lt;/Q&gt;&lt;R&gt;1&lt;/R&gt;&lt;C&gt;1&lt;/C&gt;&lt;D xsi:type="xsd:string"&gt;Lamb Weston Holdings, Inc.&lt;/D&gt;&lt;/FQL&gt;&lt;FQL&gt;&lt;Q&gt;LLY^FG_COMPANY_NAME&lt;/Q&gt;&lt;R&gt;1&lt;/R&gt;&lt;C&gt;1&lt;/C&gt;&lt;D xsi:type="xsd:string"&gt;Eli Lilly and Company&lt;/D&gt;&lt;/FQL&gt;&lt;FQL&gt;&lt;Q&gt;KVUE^FG_COMPANY_NAME&lt;/Q&gt;&lt;R&gt;1&lt;/R&gt;&lt;C&gt;1&lt;/C&gt;&lt;D xsi:type="xsd:string"&gt;Kenvue, Inc.&lt;/D&gt;&lt;/FQL&gt;&lt;FQL&gt;&lt;Q&gt;KHC^FG_COMPANY_NAME&lt;/Q&gt;&lt;R&gt;1&lt;/R&gt;&lt;C&gt;1&lt;/C&gt;&lt;D xsi:type="xsd:string"&gt;Kraft Heinz Company&lt;/D&gt;&lt;/FQL&gt;&lt;FQL&gt;&lt;Q&gt;JKHY^FG_COMPANY_NAME&lt;/Q&gt;&lt;R&gt;1&lt;/R&gt;&lt;C&gt;1&lt;/C&gt;&lt;D xsi:type="xsd:string"&gt;Jack Henry &amp;amp; Associates, Inc.&lt;/D&gt;&lt;/FQL&gt;&lt;FQL&gt;&lt;Q&gt;ISRG^FG_COMPANY_NAME&lt;/Q&gt;&lt;R&gt;1&lt;/R&gt;&lt;C&gt;1&lt;/C&gt;&lt;D xsi:type="xsd:string"&gt;Intuitive Surgical, Inc.&lt;/D&gt;&lt;/FQL&gt;&lt;FQL&gt;&lt;Q&gt;INTC^FG_COMPANY_NAME&lt;/Q&gt;&lt;R&gt;1&lt;/R&gt;&lt;C&gt;1&lt;/C&gt;&lt;D xsi:type="xsd:string"&gt;Intel Corporation&lt;/D&gt;&lt;/FQL&gt;&lt;FQL&gt;&lt;Q&gt;HWM^FG_COMPANY_NAME&lt;/Q&gt;&lt;R&gt;1&lt;/R&gt;&lt;C&gt;1&lt;/C&gt;&lt;D xsi:type="xsd:string"&gt;Howmet Aerospace Inc.&lt;/D&gt;&lt;/FQL&gt;&lt;FQL&gt;&lt;Q&gt;HPE^FG_COMPANY_NAME&lt;/Q&gt;&lt;R&gt;1&lt;/R&gt;&lt;C&gt;1&lt;/C&gt;&lt;D xsi:type="xsd:string"&gt;Hewlett Packard Enterprise Co.&lt;/D&gt;&lt;/FQL&gt;&lt;FQL&gt;&lt;Q&gt;GWW^FG_COMPANY_NAME&lt;/Q&gt;&lt;R&gt;1&lt;/R&gt;&lt;C&gt;1&lt;/C&gt;&lt;D xsi:type="xsd:string"&gt;W.W. Grainger, Inc.&lt;/D&gt;&lt;/FQL&gt;&lt;FQL&gt;&lt;Q&gt;GM^FG_COMPANY_NAME&lt;/Q&gt;&lt;R&gt;1&lt;/R&gt;&lt;C&gt;1&lt;/C&gt;&lt;D xsi:type="xsd:string"&gt;General Motors Company&lt;/D&gt;&lt;/FQL&gt;&lt;FQL&gt;&lt;Q&gt;GE^FG_COMPANY_NAME&lt;/Q&gt;&lt;R&gt;1&lt;/R&gt;&lt;C&gt;1&lt;/C&gt;&lt;D xsi:type="xsd:string"&gt;GE Aerospace&lt;/D&gt;&lt;/FQL&gt;&lt;FQL&gt;&lt;Q&gt;FOX^FG_COMPANY_NAME&lt;/Q&gt;&lt;R&gt;1&lt;/R&gt;&lt;C&gt;1&lt;/C&gt;&lt;D xsi:type="xsd:string"&gt;Fox Corporation Class B&lt;/D&gt;&lt;/FQL&gt;&lt;FQL&gt;&lt;Q&gt;FE^FG_COMPANY_NAME&lt;/Q&gt;&lt;R&gt;1&lt;/R&gt;&lt;C&gt;1&lt;/C&gt;&lt;D xsi:type="xsd:string"&gt;FirstEnergy Corp.&lt;/D&gt;&lt;/FQL&gt;&lt;FQL&gt;&lt;Q&gt;EXR^FG_COMPANY_NAME&lt;/Q&gt;&lt;R&gt;1&lt;/R&gt;&lt;C&gt;1&lt;/C&gt;&lt;D xsi:type="xsd:string"&gt;Extra Space Storage Inc.&lt;/D&gt;&lt;/FQL&gt;&lt;FQL&gt;&lt;Q&gt;ESS^FG_COMPANY_NAME&lt;/Q&gt;&lt;R&gt;1&lt;/R&gt;&lt;C&gt;1&lt;/C&gt;&lt;D xsi:type="xsd:string"&gt;Essex Property Trust, Inc.&lt;/D&gt;&lt;/FQL&gt;&lt;FQL&gt;&lt;Q&gt;EMR^FG_COMPANY_NAME&lt;/Q&gt;&lt;R&gt;1&lt;/R&gt;&lt;C&gt;1&lt;/C&gt;&lt;D xsi:type="xsd:string"&gt;Emerson Electric Co.&lt;/D&gt;&lt;/FQL&gt;&lt;FQL&gt;&lt;Q&gt;EA^FG_COMPANY_NAME&lt;/Q&gt;&lt;R&gt;1&lt;/R&gt;&lt;C&gt;1&lt;/C&gt;&lt;D xsi:type="xsd:string"&gt;Electronic Arts Inc.&lt;/D&gt;&lt;/FQL&gt;&lt;FQL&gt;&lt;Q&gt;DOW^FG_COMPANY_NAME&lt;/Q&gt;&lt;R&gt;1&lt;/R&gt;&lt;C&gt;1&lt;/C&gt;&lt;D xsi:type="xsd:string"&gt;Dow, Inc.&lt;/D&gt;&lt;/FQL&gt;&lt;FQL&gt;&lt;Q&gt;DFS^FG_COMPANY_NAME&lt;/Q&gt;&lt;R&gt;1&lt;/R&gt;&lt;C&gt;1&lt;/C&gt;&lt;D xsi:type="xsd:string"&gt;Discover Financial Services&lt;/D&gt;&lt;/FQL&gt;&lt;FQL&gt;&lt;Q&gt;CVX^FG_COMPANY_NAME&lt;/Q&gt;&lt;R&gt;1&lt;/R&gt;&lt;C&gt;1&lt;/C&gt;&lt;D xsi:type="xsd:string"&gt;Chevron Corporation&lt;/D&gt;&lt;/FQL&gt;&lt;FQL&gt;&lt;Q&gt;CSGP^FG_COMPANY_NAME&lt;/Q&gt;&lt;R&gt;1&lt;/R&gt;&lt;C&gt;1&lt;/C&gt;&lt;D xsi:type="xsd:string"&gt;CoStar Group, Inc.&lt;/D&gt;&lt;/FQL&gt;&lt;FQL&gt;&lt;Q&gt;CPAY^FG_COMPANY_NAME&lt;/Q&gt;&lt;R&gt;1&lt;/R&gt;&lt;C&gt;1&lt;/C&gt;&lt;D xsi:type="xsd:string"&gt;Corpay, Inc.&lt;/D&gt;&lt;/FQL&gt;&lt;FQL&gt;&lt;Q&gt;CMS^FG_COMPANY_NAME&lt;/Q&gt;&lt;R&gt;1&lt;/R&gt;&lt;C&gt;1&lt;/C&gt;&lt;D xsi:type="xsd:string"&gt;CMS Energy Corporation&lt;/D&gt;&lt;/FQL&gt;&lt;FQL&gt;&lt;Q&gt;CINF^FG_COMPANY_NAME&lt;/Q&gt;&lt;R&gt;1&lt;/R&gt;&lt;C&gt;1&lt;/C&gt;&lt;D xsi:type="xsd:string"&gt;Cincinnati Financial Corporation&lt;/D&gt;&lt;/FQL&gt;&lt;FQL&gt;&lt;Q&gt;CE^FG_COMPANY_NAME&lt;/Q&gt;&lt;R&gt;1&lt;/R&gt;&lt;C&gt;1&lt;/C&gt;&lt;D xsi:type="xsd:string"&gt;Celanese Corporation&lt;/D&gt;&lt;/FQL&gt;&lt;FQL&gt;&lt;Q&gt;VRSN^JULIAN(FF_EPS(QTR_R,0).DATES)&lt;/Q&gt;&lt;R&gt;1&lt;/R&gt;&lt;C&gt;1&lt;/C&gt;&lt;D xsi:type="xsd:long"&gt;46022&lt;/D&gt;&lt;/FQL&gt;&lt;FQL&gt;&lt;Q&gt;V^FE_ESTIMATE(EPS,MEAN,QTR_ROLL,-0,0,,,'')&lt;/Q&gt;&lt;R&gt;1&lt;/R&gt;&lt;C&gt;1&lt;/C&gt;&lt;D xsi:type="xsd:double"&gt;3.17&lt;/D&gt;&lt;/FQL&gt;&lt;FQL&gt;&lt;Q&gt;UNP^FE_ESTIMATE(EPS,MEAN,QTR_ROLL,-0,0,,,'')&lt;/Q&gt;&lt;R&gt;1&lt;/R&gt;&lt;C&gt;1&lt;/C&gt;&lt;D xsi:type="xsd:double"&gt;2.86&lt;/D&gt;&lt;/FQL&gt;&lt;FQL&gt;&lt;Q&gt;UDR^JULIAN(FF_EPS(QTR_R,0).DATES)&lt;/Q&gt;&lt;R&gt;1&lt;/R&gt;&lt;C&gt;1&lt;/C&gt;&lt;D xsi:type="xsd:long"&gt;46022&lt;/D&gt;&lt;/FQL&gt;&lt;FQL&gt;&lt;Q&gt;TXN^JULIAN(FF_EPS(QTR_R,0).DATES)&lt;/Q&gt;&lt;R&gt;1&lt;/R&gt;&lt;C&gt;1&lt;/C&gt;&lt;D xsi:type="xsd:long"&gt;46022&lt;/D&gt;&lt;/FQL&gt;&lt;FQL&gt;&lt;Q&gt;TSCO^FE_ESTIMATE(EPS,MEAN,QTR_ROLL,-0,0,,,'')&lt;/Q&gt;&lt;R&gt;1&lt;/R&gt;&lt;C&gt;1&lt;/C&gt;&lt;D xsi:type="xsd:double"&gt;0.43&lt;/D&gt;&lt;/FQL&gt;&lt;FQL&gt;&lt;Q&gt;TPR^FE_ESTIMATE(EPS,MEAN,QTR_ROLL,-0,0,,,'')&lt;/Q&gt;&lt;R&gt;1&lt;/R&gt;&lt;C&gt;1&lt;/C&gt;&lt;D xsi:type="xsd:double"&gt;2.69&lt;/D&gt;&lt;/FQL&gt;&lt;FQL&gt;&lt;Q&gt;TGT^JULIAN(FF_EPS(QTR_R,0).DATES)&lt;/Q&gt;&lt;R&gt;1&lt;/R&gt;&lt;C&gt;1&lt;/C&gt;&lt;D xsi:type="xsd:long"&gt;46052&lt;/D&gt;&lt;/FQL&gt;&lt;FQL&gt;&lt;Q&gt;SWKS^FE_ESTIMATE(EPS,MEAN,QTR_ROLL,-0,0,,,'')&lt;/Q&gt;&lt;R&gt;1&lt;/R&gt;&lt;C&gt;1&lt;/C&gt;&lt;D xsi:type="xsd:double"&gt;1.54&lt;/D&gt;&lt;/FQL&gt;&lt;FQL&gt;&lt;Q&gt;SNA^FE_ESTIMATE(EPS,MEAN,QTR_ROLL,-0,0,,,'')&lt;/Q&gt;&lt;R&gt;1&lt;/R&gt;&lt;C&gt;1&lt;/C&gt;&lt;D xsi:type="xsd:double"&gt;4.94&lt;/D&gt;&lt;/FQL&gt;&lt;FQL&gt;&lt;Q&gt;SHW^FE_ESTIMATE(EPS,MEAN,QTR_ROLL,-0,0,,,'')&lt;/Q&gt;&lt;R&gt;1&lt;/R&gt;&lt;C&gt;1&lt;/C&gt;&lt;D xsi:type="xsd:double"&gt;2.23&lt;/D&gt;&lt;/FQL&gt;&lt;FQL&gt;&lt;Q&gt;RMD^FE_ESTIMATE(EPS,MEAN,QTR_ROLL,-0,0,,,'')&lt;/Q&gt;&lt;R&gt;1&lt;/R&gt;&lt;C&gt;1&lt;/C&gt;&lt;D xsi:type="xsd:double"&gt;2.81&lt;/D&gt;&lt;/FQL&gt;&lt;FQL&gt;&lt;Q&gt;POOL^FE_ESTIMATE(EPS,MEAN,QTR_ROLL,-0,0,,,'')&lt;/Q&gt;&lt;R&gt;1&lt;/R&gt;&lt;C&gt;1&lt;/C&gt;&lt;D xsi:type="xsd:double"&gt;0.84&lt;/D&gt;&lt;/FQL&gt;&lt;FQL&gt;&lt;Q&gt;PNR^JULIAN(FF_EPS(QTR_R,0).DATES)&lt;/Q&gt;&lt;R&gt;1&lt;/R&gt;&lt;C&gt;1&lt;/C&gt;&lt;D xsi:type="xsd:long"&gt;46022&lt;/D&gt;&lt;/FQL&gt;&lt;FQL&gt;&lt;Q&gt;PGR^JULIAN(FF_EPS(QTR_R,0).DATES)&lt;/Q&gt;&lt;R&gt;1&lt;/R&gt;&lt;C&gt;1&lt;/C&gt;&lt;D xsi:type="xsd:long"&gt;46022&lt;/D&gt;&lt;/FQL&gt;&lt;FQL&gt;&lt;Q&gt;PCAR^JULIAN(FF_EPS(QTR_R,0).DATES)&lt;/Q&gt;&lt;R&gt;1&lt;/R&gt;&lt;C&gt;1&lt;/C&gt;&lt;D xsi:type="xsd:long"&gt;46022&lt;/D&gt;&lt;/FQL&gt;&lt;FQL&gt;&lt;Q&gt;ON^JULIAN(FF_EPS(QTR_R,0).DATES)&lt;/Q&gt;&lt;R&gt;1&lt;/R&gt;&lt;C&gt;1&lt;/C&gt;&lt;D xsi:type="xsd:long"&gt;46022&lt;/D&gt;&lt;/FQL&gt;&lt;FQL&gt;&lt;Q&gt;NTAP^JULIAN(FF_EPS(QTR_R,0).DATES)&lt;/Q&gt;&lt;R&gt;1&lt;/R&gt;&lt;C&gt;1&lt;/C&gt;&lt;D xsi:type="xsd:long"&gt;46052&lt;/D&gt;&lt;/FQL&gt;&lt;FQL&gt;&lt;Q&gt;NCLH^JULIAN(FF_EPS(QTR_R,0).DATES)&lt;/Q&gt;&lt;R&gt;1&lt;/R&gt;&lt;C&gt;1&lt;/C&gt;&lt;D xsi:type="xsd:long"&gt;46022&lt;/D&gt;&lt;/FQL&gt;&lt;FQL&gt;&lt;Q&gt;MTB^FF_EPS(QTR_R,0)&lt;/Q&gt;&lt;R&gt;1&lt;/R&gt;&lt;C&gt;1&lt;/C&gt;&lt;D xsi:type="xsd:double"&gt;4.6711&lt;/D&gt;&lt;/FQL&gt;&lt;FQL&gt;&lt;Q&gt;MPWR^FF_EPS(QTR_R,0)&lt;/Q&gt;&lt;R&gt;1&lt;/R&gt;&lt;C&gt;1&lt;/C&gt;&lt;D xsi:type="xsd:double"&gt;3.4603&lt;/D&gt;&lt;/FQL&gt;&lt;FQL&gt;&lt;Q&gt;MO^FF_EPS(QTR_R,0)&lt;/Q&gt;&lt;R&gt;1&lt;/R&gt;&lt;C&gt;1&lt;/C&gt;&lt;D xsi:type="xsd:double"&gt;0.6643&lt;/D&gt;&lt;/FQL&gt;&lt;FQL&gt;&lt;Q&gt;MDT^FE_ESTIMATE(EPS,MEAN,QTR_ROLL,-0,0,,,'')&lt;/Q&gt;&lt;R&gt;1&lt;/R&gt;&lt;C&gt;1&lt;/C&gt;&lt;D xsi:type="xsd:double"&gt;1.36&lt;/D&gt;&lt;/FQL&gt;&lt;FQL&gt;&lt;Q&gt;MCHP^FE_ESTIMATE(EPS,MEAN,QTR_ROLL,-0,0,,,'')&lt;/Q&gt;&lt;R&gt;1&lt;/R&gt;&lt;C&gt;1&lt;/C&gt;&lt;D xsi:type="xsd:double"&gt;0.44&lt;/D&gt;&lt;/FQL&gt;&lt;FQL&gt;&lt;Q&gt;MAR^JULIAN(FF_EPS(QTR_R,0).DATES)&lt;/Q&gt;&lt;R&gt;1&lt;/R&gt;&lt;C&gt;1&lt;/C&gt;&lt;D xsi:type="xsd:long"&gt;46022&lt;/D&gt;&lt;/FQL&gt;&lt;FQL&gt;&lt;Q&gt;LIN^FF_EPS(QTR_R,0)&lt;/Q&gt;&lt;R&gt;1&lt;/R&gt;&lt;C&gt;1&lt;/C&gt;&lt;D xsi:type="xsd:double"&gt;3.2643&lt;/D&gt;&lt;/FQL&gt;&lt;FQL&gt;&lt;Q&gt;KHC^FF_EPS(QTR_R,0)&lt;/Q&gt;&lt;R&gt;1&lt;/R&gt;&lt;C&gt;1&lt;/C&gt;&lt;D xsi:type="xsd:double"&gt;0.5484&lt;/D&gt;&lt;/FQL&gt;&lt;FQL&gt;&lt;Q&gt;K^FE_ESTIMATE(EPS,MEAN,QTR_ROLL,-0,0,,,'')&lt;/Q&gt;&lt;R&gt;1&lt;/R&gt;&lt;C&gt;1&lt;/C&gt;&lt;D xsi:type="xsd:double"&gt;0.93&lt;/D&gt;&lt;/FQL&gt;&lt;FQL&gt;&lt;Q&gt;JNJ^FF_EPS(QTR_R,0)&lt;/Q&gt;&lt;R&gt;1&lt;/R&gt;&lt;C&gt;1&lt;/C&gt;&lt;D xsi:type="xsd:double"&gt;2.0976&lt;/D&gt;&lt;/FQL&gt;&lt;FQL&gt;&lt;Q&gt;JBL^JULIAN(FF_EPS(QTR_R,0).DATES)&lt;/Q&gt;&lt;R&gt;1&lt;/R&gt;&lt;C&gt;1&lt;/C&gt;&lt;D xsi:type="xsd:long"&gt;46080&lt;/D&gt;&lt;/FQL&gt;&lt;FQL&gt;&lt;Q&gt;ITW^FF_EPS(QTR_R,0)&lt;/Q&gt;&lt;R&gt;1&lt;/R&gt;&lt;C&gt;1&lt;/C&gt;&lt;D xsi:type="xsd:double"&gt;2.7223&lt;/D&gt;&lt;/FQL&gt;&lt;FQL&gt;&lt;Q&gt;IBM^JULIAN(FF_EPS(QTR_R,0).DATES)&lt;/Q&gt;&lt;R&gt;1&lt;/R&gt;&lt;C&gt;1&lt;/C&gt;&lt;D xsi:type="xsd:long"&gt;46022&lt;/D&gt;&lt;/FQL&gt;&lt;FQL&gt;&lt;Q&gt;HSY^FE_ESTIMATE(EPS,MEAN,QTR_ROLL,-0,0,,,'')&lt;/Q&gt;&lt;R&gt;1&lt;/R&gt;&lt;C&gt;1&lt;/C&gt;&lt;D xsi:type="xsd:double"&gt;1.71&lt;/D&gt;&lt;/FQL&gt;&lt;FQL&gt;&lt;Q&gt;HOLX^FE_ESTIMATE(EPS,MEAN,QTR_ROLL,-0,0,,,'')&lt;/Q&gt;&lt;R&gt;1&lt;/R&gt;&lt;C&gt;1&lt;/C&gt;&lt;D xsi:type="xsd:double"&gt;1.04&lt;/D&gt;&lt;/FQL&gt;&lt;FQL&gt;&lt;Q&gt;GS^FE_ESTIMATE(EPS,MEAN,QTR_ROLL,-0,0,,,'')&lt;/Q&gt;&lt;R&gt;1&lt;/R&gt;&lt;C&gt;1&lt;/C&gt;&lt;D xsi:type="xsd:double"&gt;14.01&lt;/D&gt;&lt;/FQL&gt;&lt;FQL&gt;&lt;Q&gt;GD^FF_EPS(QTR_R,0)&lt;/Q&gt;&lt;R&gt;1&lt;/R&gt;&lt;C&gt;1&lt;/C&gt;&lt;D xsi:type="xsd:double"&gt;4.1731&lt;/D&gt;&lt;/FQL&gt;&lt;FQL&gt;&lt;Q&gt;FSLR^JULIAN(FF_EPS(QTR_R,0).DATES)&lt;/Q&gt;&lt;R&gt;1&lt;/R&gt;&lt;C&gt;1&lt;/C&gt;&lt;D xsi:type="xsd:long"&gt;46022&lt;/D&gt;&lt;/FQL&gt;&lt;FQL&gt;&lt;Q&gt;FIS^FF_EPS(QTR_R,0)&lt;/Q&gt;&lt;R&gt;1&lt;/R&gt;&lt;C&gt;1&lt;/C&gt;&lt;D xsi:type="xsd:double"&gt;0.9846&lt;/D&gt;&lt;/FQL&gt;&lt;FQL&gt;&lt;Q&gt;FDS^JULIAN(FF_EPS(QTR_R,0).DATES)&lt;/Q&gt;&lt;R&gt;1&lt;/R&gt;&lt;C&gt;1&lt;/C&gt;&lt;D xsi:type="xsd:long"&gt;45989&lt;/D&gt;&lt;/FQL&gt;&lt;FQL&gt;&lt;Q&gt;EW^FF_EPS(QTR_R,0)&lt;/Q&gt;&lt;R&gt;1&lt;/R&gt;&lt;C&gt;1&lt;/C&gt;&lt;D xsi:type="xsd:double"&gt;0.1104&lt;/D&gt;&lt;/FQL&gt;&lt;FQL&gt;&lt;Q&gt;ETN^FF_EPS(QTR_R,0)&lt;/Q&gt;&lt;R&gt;1&lt;/R&gt;&lt;C&gt;1&lt;/C&gt;&lt;D xsi:type="xsd:double"&gt;2.9063&lt;/D&gt;&lt;/FQL&gt;&lt;FQL&gt;&lt;Q&gt;EQT^FF_EPS(QTR_R,0)&lt;/Q&gt;&lt;R&gt;1&lt;/R&gt;&lt;C&gt;1&lt;/C&gt;&lt;D xsi:type="xsd:double"&gt;1.0769&lt;/D&gt;&lt;/FQL&gt;&lt;FQL&gt;&lt;Q&gt;EPAM^FF_EPS(QTR_R,0)&lt;/Q&gt;&lt;R&gt;1&lt;/R&gt;&lt;C&gt;1&lt;/C&gt;&lt;D xsi:type="xsd:double"&gt;1.976&lt;/D&gt;&lt;/FQL&gt;&lt;FQL&gt;&lt;Q&gt;EMR^FF_EPS(QTR_R,0)&lt;/Q&gt;&lt;R&gt;1&lt;/R&gt;&lt;C&gt;1&lt;/C&gt;&lt;D xsi:type="xsd:double"&gt;1.0725&lt;/D&gt;&lt;/FQL&gt;&lt;FQL&gt;&lt;Q&gt;EIX^FF_EPS(QTR_R,0)&lt;/Q&gt;&lt;R&gt;1&lt;/R&gt;&lt;C&gt;1&lt;/C&gt;&lt;D xsi:type="xsd:double"&gt;4.8001&lt;/D&gt;&lt;/FQL&gt;&lt;FQL&gt;&lt;Q&gt;ECL^FF_EPS(QTR_R,0)&lt;/Q&gt;&lt;R&gt;1&lt;/R&gt;&lt;C&gt;1&lt;/C&gt;&lt;D xsi:type="xsd:double"&gt;1.9842&lt;/D&gt;&lt;/FQL&gt;&lt;FQL&gt;&lt;Q&gt;DXCM^FF_EPS(QTR_R,0)&lt;/Q&gt;&lt;R&gt;1&lt;/R&gt;&lt;C&gt;1&lt;/C&gt;&lt;D xsi:type="xsd:double"&gt;0.6761&lt;/D&gt;&lt;/FQL&gt;&lt;FQL&gt;&lt;Q&gt;D^JULIAN(FF_EPS(QTR_R,0).DATES)&lt;/Q&gt;&lt;R&gt;1&lt;/R&gt;&lt;C&gt;1&lt;/C&gt;&lt;D xsi:type="xsd:long"&gt;46022&lt;/D&gt;&lt;/FQL&gt;&lt;FQL&gt;&lt;Q&gt;CNC^FE_ESTIMATE(EPS,MEAN,QTR_ROLL,-0,0,,,'')&lt;/Q&gt;&lt;R&gt;1&lt;/R&gt;&lt;C&gt;1&lt;/C&gt;&lt;D xsi:type="xsd:double"&gt;-1.19&lt;/D&gt;&lt;/FQL&gt;&lt;FQL&gt;&lt;Q&gt;CMG^FE_ESTIMATE(EPS,MEAN,QTR_ROLL,-0,0,,,'')&lt;/Q&gt;&lt;R&gt;1&lt;/R&gt;&lt;C&gt;1&lt;/C&gt;&lt;D xsi:type="xsd:double"&gt;0.25&lt;/D&gt;&lt;/FQL&gt;&lt;FQL&gt;&lt;Q&gt;ZTS^FF_EPS(QTR_R,0)&lt;/Q&gt;&lt;R&gt;1&lt;/R&gt;&lt;C&gt;1&lt;/C&gt;&lt;D xsi:type="xsd:double"&gt;1.3748&lt;/D&gt;&lt;/FQL&gt;&lt;FQL&gt;&lt;Q&gt;WTW^FF_EPS(QTR_R,0)&lt;/Q&gt;&lt;R&gt;1&lt;/R&gt;&lt;C&gt;1&lt;/C&gt;&lt;D xsi:type="xsd:double"&gt;7.5773&lt;/D&gt;&lt;/FQL&gt;&lt;FQL&gt;&lt;Q&gt;WM^JULIAN(FF_EPS(QTR_R,0).DATES)&lt;/Q&gt;&lt;R&gt;1&lt;/R&gt;&lt;C&gt;1&lt;/C&gt;&lt;D xsi:type="xsd:long"&gt;46022&lt;/D&gt;&lt;/FQL&gt;&lt;FQL&gt;&lt;Q&gt;VTRS^JULIAN(FF_EPS(QTR_R,0).DATES)&lt;/Q&gt;&lt;R&gt;1&lt;/R&gt;&lt;C&gt;1&lt;/C&gt;&lt;D xsi:type="xsd:long"&gt;46022&lt;/D&gt;&lt;/FQL&gt;&lt;FQL&gt;&lt;Q&gt;TSCO^FF_EPS(QTR_R,0)&lt;/Q&gt;&lt;R&gt;1&lt;/R&gt;&lt;C&gt;1&lt;/C&gt;&lt;D xsi:type="xsd:double"&gt;0.4289&lt;/D&gt;&lt;/FQL&gt;&lt;FQL&gt;&lt;Q&gt;TECH^FF_EPS(QTR_R,0)&lt;/Q&gt;&lt;R&gt;1&lt;/R&gt;&lt;C&gt;1&lt;/C&gt;&lt;D xsi:type="xsd:double"&gt;0.2421&lt;/D&gt;&lt;/FQL&gt;&lt;FQL&gt;&lt;Q&gt;T^FF_EPS(QTR_R,0)&lt;/Q&gt;&lt;R&gt;1&lt;/R&gt;&lt;C&gt;1&lt;/C&gt;&lt;D xsi:type="xsd:double"&gt;0.5283&lt;/D&gt;&lt;/FQL&gt;&lt;FQL&gt;&lt;Q&gt;STT^FE_ESTIMATE(EPS,MEAN,QTR_ROLL,-0,0,,,'')&lt;/Q&gt;&lt;R&gt;1&lt;/R&gt;&lt;C&gt;1&lt;/C&gt;&lt;D xsi:type="xsd:double"&gt;2.97&lt;/D&gt;&lt;/FQL&gt;&lt;FQL&gt;&lt;Q&gt;ROST^FE_ESTIMATE(EPS,MEAN,QTR_ROLL,-0,0,,,'')&lt;/Q&gt;&lt;R&gt;1&lt;/R&gt;&lt;C&gt;1&lt;/C&gt;&lt;D xsi:type="xsd:double"&gt;2&lt;/D&gt;&lt;/FQL&gt;&lt;FQL&gt;&lt;Q&gt;REGN^FE_ESTIMATE(EPS,MEAN,QTR_ROLL,-0,0,,,'')&lt;/Q&gt;&lt;R&gt;1&lt;/R&gt;&lt;C&gt;1&lt;/C&gt;&lt;D xsi:type="xsd:double"&gt;11.44&lt;/D&gt;&lt;/FQL&gt;&lt;FQL&gt;&lt;Q&gt;PWR^FE_ESTIMATE(EPS,MEAN,QTR_ROLL,-0,0,,,'')&lt;/Q&gt;&lt;R&gt;1&lt;/R&gt;&lt;C&gt;1&lt;/C&gt;&lt;D xsi:type="xsd:double"&gt;3.16&lt;/D&gt;&lt;/FQL&gt;&lt;FQL&gt;&lt;Q&gt;PKG^FE_ESTIMATE(EPS,MEAN,QTR_ROLL,-0,0,,,'')&lt;/Q&gt;&lt;R&gt;1&lt;/R&gt;&lt;C&gt;1&lt;/C&gt;&lt;D xsi:type="xsd:double"&gt;2.32&lt;/D&gt;&lt;/FQL&gt;&lt;FQL&gt;&lt;Q&gt;OTIS^FE_ESTIMATE(EPS,MEAN,QTR_ROLL,-0,0,,,'')&lt;/Q&gt;&lt;R&gt;1&lt;/R&gt;&lt;C&gt;1&lt;/C&gt;&lt;D xsi:type="xsd:double"&gt;1.03&lt;/D&gt;&lt;/FQL&gt;&lt;FQL&gt;&lt;Q&gt;NXPI^FE_ESTIMATE(EPS,MEAN,QTR_ROLL,-0,0,,,'')&lt;/Q&gt;&lt;R&gt;1&lt;/R&gt;&lt;C&gt;1&lt;/C&gt;&lt;D xsi:type="xsd:double"&gt;3.35&lt;/D&gt;&lt;/FQL&gt;&lt;FQL&gt;&lt;Q&gt;NVDA^FE_ESTIMATE(EPS,MEAN,QTR_ROLL,-0,0,,,'')&lt;/Q&gt;&lt;R&gt;1&lt;/R&gt;&lt;C&gt;1&lt;/C&gt;&lt;D xsi:type="xsd:double"&gt;1.62&lt;/D&gt;&lt;/FQL&gt;&lt;FQL&gt;&lt;Q&gt;NSC^FE_ESTIMATE(EPS,MEAN,QTR_ROLL,-0,0,,,'')&lt;/Q&gt;&lt;R&gt;1&lt;/R&gt;&lt;C&gt;1&lt;/C&gt;&lt;D xsi:type="xsd:double"&gt;3.22&lt;/D&gt;&lt;/FQL&gt;&lt;FQL&gt;&lt;Q&gt;NOC^JULIAN(FF_EPS(QTR_R,0).DATES)&lt;/Q&gt;&lt;R&gt;1&lt;/R&gt;&lt;C&gt;1&lt;/C&gt;&lt;D xsi:type="xsd:long"&gt;46022&lt;/D&gt;&lt;/FQL&gt;&lt;FQL&gt;&lt;Q&gt;MTB^JULIAN(FF_EPS(QTR_R,0).DATES)&lt;/Q&gt;&lt;R&gt;1&lt;/R&gt;&lt;C&gt;1&lt;/C&gt;&lt;D xsi:type="xsd:long"&gt;46022&lt;/D&gt;&lt;/FQL&gt;&lt;FQL&gt;&lt;Q&gt;MS^JULIAN(FF_EPS(QTR_R,0).DATES)&lt;/Q&gt;&lt;R&gt;1&lt;/R&gt;&lt;C&gt;1&lt;/C&gt;&lt;D xsi:type="xsd:long"&gt;46022&lt;/D&gt;&lt;/FQL&gt;&lt;FQL&gt;&lt;Q&gt;MPWR^JULIAN(FF_EPS(QTR_R,0).DATES)&lt;/Q&gt;&lt;R&gt;1&lt;/R&gt;&lt;C&gt;1&lt;/C&gt;&lt;D xsi:type="xsd:long"&gt;46022&lt;/D&gt;&lt;/FQL&gt;&lt;FQL&gt;&lt;Q&gt;MLM^FE_ESTIMATE(EPS,MEAN,QTR_ROLL,-0,0,,,'')&lt;/Q&gt;&lt;R&gt;1&lt;/R&gt;&lt;C&gt;1&lt;/C&gt;&lt;D xsi:type="xsd:double"&gt;3.85&lt;/D&gt;&lt;/FQL&gt;&lt;FQL&gt;&lt;Q&gt;MHK^JULIAN(FF_EPS(QTR_R,0).DATES)&lt;/Q&gt;&lt;R&gt;1&lt;/R&gt;&lt;C&gt;1&lt;/C&gt;&lt;D xsi:type="xsd:long"&gt;46022&lt;/D&gt;&lt;/FQL&gt;&lt;FQL&gt;&lt;Q&gt;MDT^FF_EPS(QTR_R,0)&lt;/Q&gt;&lt;R&gt;1&lt;/R&gt;&lt;C&gt;1&lt;/C&gt;&lt;D xsi:type="xsd:double"&gt;0.8864&lt;/D&gt;&lt;/FQL&gt;&lt;FQL&gt;&lt;Q&gt;MCHP^FF_EPS(QTR_R,0)&lt;/Q&gt;&lt;R&gt;1&lt;/R&gt;&lt;C&gt;1&lt;/C&gt;&lt;D xsi:type="xsd:double"&gt;0.064&lt;/D&gt;&lt;/FQL&gt;&lt;FQL&gt;&lt;Q&gt;LYB^FF_EPS(QTR_R,0)&lt;/Q&gt;&lt;R&gt;1&lt;/R&gt;&lt;C&gt;1&lt;/C&gt;&lt;D xsi:type="xsd:double"&gt;-0.4441&lt;/D&gt;&lt;/FQL&gt;&lt;FQL&gt;&lt;Q&gt;LULU^FF_EPS(QTR_R,0)&lt;/Q&gt;&lt;R&gt;1&lt;/R&gt;&lt;C&gt;1&lt;/C&gt;&lt;D xsi:type="xsd:double"&gt;5.0076&lt;/D&gt;&lt;/FQL&gt;&lt;FQL&gt;&lt;Q&gt;LMT^FE_ESTIMATE(EPS,MEAN,QTR_ROLL,-0,0,,,'')&lt;/Q&gt;&lt;R&gt;1&lt;/R&gt;&lt;C&gt;1&lt;/C&gt;&lt;D xsi:type="xsd:double"&gt;5.8&lt;/D&gt;&lt;/FQL&gt;&lt;FQL&gt;&lt;Q&gt;KR^JULIAN(FF_EPS(QTR_R,0).DATES)&lt;/Q&gt;&lt;R&gt;1&lt;/R&gt;&lt;C&gt;1&lt;/C&gt;&lt;D xsi:type="xsd:long"&gt;46052&lt;/D&gt;&lt;/FQL&gt;&lt;FQL&gt;&lt;Q&gt;IR^FE_ESTIMATE(EPS,MEAN,QTR_ROLL,-0,0,,,'')&lt;/Q&gt;&lt;R&gt;1&lt;/R&gt;&lt;C&gt;1&lt;/C&gt;&lt;D xsi:type="xsd:double"&gt;0.96&lt;/D&gt;&lt;/FQL&gt;&lt;FQL&gt;&lt;Q&gt;IP^FF_EPS(QTR_R,0)&lt;/Q&gt;&lt;R&gt;1&lt;/R&gt;&lt;C&gt;1&lt;/C&gt;&lt;D xsi:type="xsd:double"&gt;-4.5152&lt;/D&gt;&lt;/FQL&gt;&lt;FQL&gt;&lt;Q&gt;HRL^JULIAN(FF_EPS(QTR_R,0).DATES)&lt;/Q&gt;&lt;R&gt;1&lt;/R&gt;&lt;C&gt;1&lt;/C&gt;&lt;D xsi:type="xsd:long"&gt;46052&lt;/D&gt;&lt;/FQL&gt;&lt;FQL&gt;&lt;Q&gt;HBAN^JULIAN(FF_EPS(QTR_R,0).DATES)&lt;/Q&gt;&lt;R&gt;1&lt;/R&gt;&lt;C&gt;1&lt;/C&gt;&lt;D xsi:type="xsd:long"&gt;46022&lt;/D&gt;&lt;/FQL&gt;&lt;FQL&gt;&lt;Q&gt;GPC^JULIAN(FF_EPS(QTR_R,0).DATES)&lt;/Q&gt;&lt;R&gt;1&lt;/R&gt;&lt;C&gt;1&lt;/C&gt;&lt;D xsi:type="xsd:long"&gt;46022&lt;/D&gt;&lt;/FQL&gt;&lt;FQL&gt;&lt;Q&gt;GM^FE_ESTIMATE(EPS,MEAN,QTR_ROLL,-0,0,,,'')&lt;/Q&gt;&lt;R&gt;1&lt;/R&gt;&lt;C&gt;1&lt;/C&gt;&lt;D xsi:type="xsd:double"&gt;2.51&lt;/D&gt;&lt;/FQL&gt;&lt;FQL&gt;&lt;Q&gt;GEHC^FE_ESTIMATE(EPS,MEAN,QTR_ROLL,-0,0,,,'')&lt;/Q&gt;&lt;R&gt;1&lt;/R&gt;&lt;C&gt;1&lt;/C&gt;&lt;D xsi:type="xsd:double"&gt;1.44&lt;/D&gt;&lt;/FQL&gt;&lt;FQL&gt;&lt;Q&gt;FMC^FE_ESTIMATE(EPS,MEAN,QTR_ROLL,-0,0,,,'')&lt;/Q&gt;&lt;R&gt;1&lt;/R&gt;&lt;C&gt;1&lt;/C&gt;&lt;D xsi:type="xsd:double"&gt;1.2&lt;/D&gt;&lt;/FQL&gt;&lt;FQL&gt;&lt;Q&gt;FFIV^JULIAN(FF_EPS(QTR_R,0).DATES)&lt;/Q&gt;&lt;R&gt;1&lt;/R&gt;&lt;C&gt;1&lt;/C&gt;&lt;D xsi:type="xsd:long"&gt;46022&lt;/D&gt;&lt;/FQL&gt;&lt;FQL&gt;&lt;Q&gt;FANG^FE_ESTIMATE(EPS,MEAN,QTR_ROLL,-0,0,,,'')&lt;/Q&gt;&lt;R&gt;1&lt;/R&gt;&lt;C&gt;1&lt;/C&gt;&lt;D xsi:type="xsd:double"&gt;1.74&lt;/D&gt;&lt;/FQL&gt;&lt;FQL&gt;&lt;Q&gt;EXPE^FF_EPS(QTR_R,0)&lt;/Q&gt;&lt;R&gt;1&lt;/R&gt;&lt;C&gt;1&lt;/C&gt;&lt;D xsi:type="xsd:double"&gt;1.5986&lt;/D&gt;&lt;/FQL&gt;&lt;FQL&gt;&lt;Q&gt;DXCM^JULIAN(FF_EPS(QTR_R,0).DATES)&lt;/Q&gt;&lt;R&gt;1&lt;/R&gt;&lt;C&gt;1&lt;/C&gt;&lt;D xsi:type="xsd:long"&gt;46022&lt;/D&gt;&lt;/FQL&gt;&lt;FQL&gt;&lt;Q&gt;DUK^JULIAN(FF_EPS(QTR_R,0).DATES)&lt;/Q&gt;&lt;R&gt;1&lt;/R&gt;&lt;C&gt;1&lt;/C&gt;&lt;D xsi:type="xsd:long"&gt;46022&lt;/D&gt;&lt;/FQL&gt;&lt;FQL&gt;&lt;Q&gt;DPZ^JULIAN(FF_EPS(QTR_R,0).DATES)&lt;/Q&gt;&lt;R&gt;1&lt;/R&gt;&lt;C&gt;1&lt;/C&gt;&lt;D xsi:type="xsd:long"&gt;46022&lt;/D&gt;&lt;/FQL&gt;&lt;FQL&gt;&lt;Q&gt;DLTR^JULIAN(FF_EPS(QTR_R,0).DATES)&lt;/Q&gt;&lt;R&gt;1&lt;/R&gt;&lt;C&gt;1&lt;/C&gt;&lt;D xsi:type="xsd:long"&gt;46052&lt;/D&gt;&lt;/FQL&gt;&lt;FQL&gt;&lt;Q&gt;DHI^JULIAN(FF_EPS(QTR_R,0).DATES)&lt;/Q&gt;&lt;R&gt;1&lt;/R&gt;&lt;C&gt;1&lt;/C&gt;&lt;D xsi:type="xsd:long"&gt;46022&lt;/D&gt;&lt;/FQL&gt;&lt;FQL&gt;&lt;Q&gt;DFS^JULIAN(FF_EPS(QTR_R,0).DATES)&lt;/Q&gt;&lt;R&gt;1&lt;/R&gt;&lt;C&gt;1&lt;/C&gt;&lt;D xsi:type="xsd:long"&gt;45747&lt;/D&gt;&lt;/FQL&gt;&lt;FQL&gt;&lt;Q&gt;CZR^FE_ESTIMATE(EPS,MEAN,QTR_ROLL,-0,0,,,'')&lt;/Q&gt;&lt;R&gt;1&lt;/R&gt;&lt;C&gt;1&lt;/C&gt;&lt;D xsi:type="xsd:double"&gt;-1.23&lt;/D&gt;&lt;/FQL&gt;&lt;FQL&gt;&lt;Q&gt;ZION^FF_EPS(QTR_R,0)&lt;/Q&gt;&lt;R&gt;1&lt;/R&gt;&lt;C&gt;1&lt;/C&gt;&lt;D xsi:type="xsd:double"&gt;1.7605&lt;/D&gt;&lt;/FQL&gt;&lt;FQL&gt;&lt;Q&gt;XOM^FE_ESTIMATE(EPS,MEAN,QTR_ROLL,-0,0,,,'')&lt;/Q&gt;&lt;R&gt;1&lt;/R&gt;&lt;C&gt;1&lt;/C&gt;&lt;D xsi:type="xsd:double"&gt;1.71&lt;/D&gt;&lt;/FQL&gt;&lt;FQL&gt;&lt;Q&gt;WTW^JULIAN(FF_EPS(QTR_R,0).DATES)&lt;/Q&gt;&lt;R&gt;1&lt;/R&gt;&lt;C&gt;1&lt;/C&gt;&lt;D xsi:type="xsd:long"&gt;46022&lt;/D&gt;&lt;/FQL&gt;&lt;FQL&gt;&lt;Q&gt;WBD^JULIAN(FF_EPS(QTR_R,0).DATES)&lt;/Q&gt;&lt;R&gt;1&lt;/R&gt;&lt;C&gt;1&lt;/C&gt;&lt;D xsi:type="xsd:long"&gt;46022&lt;/D&gt;&lt;/FQL&gt;&lt;FQL&gt;&lt;Q&gt;V^FF_EPS(QTR_R,0)&lt;/Q&gt;&lt;R&gt;1&lt;/R&gt;&lt;C&gt;1&lt;/C&gt;&lt;D xsi:type="xsd:double"&gt;3.0021&lt;/D&gt;&lt;/FQL&gt;&lt;FQL&gt;&lt;Q&gt;UBER^JULIAN(FF_EPS(QTR_R,0).DATES)&lt;/Q&gt;&lt;R&gt;1&lt;/R&gt;&lt;C&gt;1&lt;/C&gt;&lt;D xsi:type="xsd:long"&gt;46022&lt;/D&gt;&lt;/FQL&gt;&lt;FQL&gt;&lt;Q&gt;TTWO^FE_ESTIMATE(EPS,MEAN,QTR_ROLL,-0,0,,,'')&lt;/Q&gt;&lt;R&gt;1&lt;/R&gt;&lt;C&gt;1&lt;/C&gt;&lt;D xsi:type="xsd:double"&gt;1.2278823&lt;/D&gt;&lt;/FQL&gt;&lt;FQL&gt;&lt;Q&gt;TRV^FF_EPS(QTR_R,0)&lt;/Q&gt;&lt;R&gt;1&lt;/R&gt;&lt;C&gt;1&lt;/C&gt;&lt;D xsi:type="xsd:double"&gt;11.058&lt;/D&gt;&lt;/FQL&gt;&lt;FQL&gt;&lt;Q&gt;TPR^FF_EPS(QTR_R,0)&lt;/Q&gt;&lt;R&gt;1&lt;/R&gt;&lt;C&gt;1&lt;/C&gt;&lt;D xsi:type="xsd:double"&gt;2.6753999999999998&lt;/D&gt;&lt;/FQL&gt;&lt;FQL&gt;&lt;Q&gt;TFX^FE_ESTIMATE(EPS,MEAN,QTR_ROLL,-0,0,,,'')&lt;/Q&gt;&lt;R&gt;1&lt;/R&gt;&lt;C&gt;1&lt;/C&gt;&lt;D xsi:type="xsd:double"&gt;1.93&lt;/D&gt;&lt;/FQL&gt;&lt;FQL&gt;&lt;Q&gt;STT^FF_EPS(QTR_R,0)&lt;/Q&gt;&lt;R&gt;1&lt;/R&gt;&lt;C&gt;1&lt;/C&gt;&lt;D xsi:type="xsd:double"&gt;2.4157&lt;/D&gt;&lt;/FQL&gt;&lt;FQL&gt;&lt;Q&gt;SPGI^JULIAN(FF_EPS(QTR_R,0).DATES)&lt;/Q&gt;&lt;R&gt;1&lt;/R&gt;&lt;C&gt;1&lt;/C&gt;&lt;D xsi:type="xsd:long"&gt;46022&lt;/D&gt;&lt;/FQL&gt;&lt;FQL&gt;&lt;Q&gt;SNA^FF_EPS(QTR_R,0)&lt;/Q&gt;&lt;R&gt;1&lt;/R&gt;&lt;C&gt;1&lt;/C&gt;&lt;D xsi:type="xsd:double"&gt;4.9375&lt;/D&gt;&lt;/FQL&gt;&lt;FQL&gt;&lt;Q&gt;SHW^FF_EPS(QTR_R,0)&lt;/Q&gt;&lt;R&gt;1&lt;/R&gt;&lt;C&gt;1&lt;/C&gt;&lt;D xsi:type="xsd:double"&gt;1.9164&lt;/D&gt;&lt;/FQL&gt;&lt;FQL&gt;&lt;Q&gt;SBAC^FF_EPS(QTR_R,0)&lt;/Q&gt;&lt;R&gt;1&lt;/R&gt;&lt;C&gt;1&lt;/C&gt;&lt;D xsi:type="xsd:double"&gt;3.472&lt;/D&gt;&lt;/FQL&gt;&lt;FQL&gt;&lt;Q&gt;ROST^JULIAN(FF_EPS(QTR_R,0).DATES)&lt;/Q&gt;&lt;R&gt;1&lt;/R&gt;&lt;C&gt;1&lt;/C&gt;&lt;D xsi:type="xsd:long"&gt;46052&lt;/D&gt;&lt;/FQL&gt;&lt;FQL&gt;&lt;Q&gt;RMD^FF_EPS(QTR_R,0)&lt;/Q&gt;&lt;R&gt;1&lt;/R&gt;&lt;C&gt;1&lt;/C&gt;&lt;D xsi:type="xsd:double"&gt;2.6822&lt;/D&gt;&lt;/FQL&gt;&lt;FQL&gt;&lt;Q&gt;REGN^FF_EPS(QTR_R,0)&lt;/Q&gt;&lt;R&gt;1&lt;/R&gt;&lt;C&gt;1&lt;/C&gt;&lt;D xsi:type="xsd:double"&gt;7.8567&lt;/D&gt;&lt;/FQL&gt;&lt;FQL&gt;&lt;Q&gt;QRVO^FF_EPS(QTR_R,0)&lt;/Q&gt;&lt;R&gt;1&lt;/R&gt;&lt;C&gt;1&lt;/C&gt;&lt;D xsi:type="xsd:double"&gt;1.7533&lt;/D&gt;&lt;/FQL&gt;&lt;FQL&gt;&lt;Q&gt;POOL^FF_EPS(QTR_R,0)&lt;/Q&gt;&lt;R&gt;1&lt;/R&gt;&lt;C&gt;1&lt;/C&gt;&lt;D xsi:type="xsd:double"&gt;0.8526&lt;/D&gt;&lt;/FQL&gt;&lt;FQL&gt;&lt;Q&gt;PG^FF_EPS(QTR_R,0)&lt;/Q&gt;&lt;R&gt;1&lt;/R&gt;&lt;C&gt;1&lt;/C&gt;&lt;D xsi:type="xsd:double"&gt;1.7818&lt;/D&gt;&lt;/FQL&gt;&lt;FQL&gt;&lt;Q&gt;PEG^FF_EPS(QTR_R,0)&lt;/Q&gt;&lt;R&gt;1&lt;/R&gt;&lt;C&gt;1&lt;/C&gt;&lt;D xsi:type="xsd:double"&gt;0.6287&lt;/D&gt;&lt;/FQL&gt;&lt;FQL&gt;&lt;Q&gt;PAYX^FE_ESTIMATE(EPS,MEAN,QTR_ROLL,-0,0,,,'')&lt;/Q&gt;&lt;R&gt;1&lt;/R&gt;&lt;C&gt;1&lt;/C&gt;&lt;D xsi:type="xsd:double"&gt;1.71&lt;/D&gt;&lt;/FQL&gt;&lt;FQL&gt;&lt;Q&gt;OMC^FF_EPS(QTR_R,0)&lt;/Q&gt;&lt;R&gt;1&lt;/R&gt;&lt;C&gt;1&lt;/C&gt;&lt;D xsi:type="xsd:double"&gt;-4.02&lt;/D&gt;&lt;/FQL&gt;&lt;FQL&gt;&lt;Q&gt;NEE^FF_EPS(QTR_R,0)&lt;/Q&gt;&lt;R&gt;1&lt;/R&gt;&lt;C&gt;1&lt;/C&gt;&lt;D xsi:type="xsd:double"&gt;0.7348&lt;/D&gt;&lt;/FQL&gt;&lt;FQL&gt;&lt;Q&gt;MU^FE_ESTIMATE(EPS,MEAN,QTR_ROLL,-0,0,,,'')&lt;/Q&gt;&lt;R&gt;1&lt;/R&gt;&lt;C&gt;1&lt;/C&gt;&lt;D xsi:type="xsd:double"&gt;12.2&lt;/D&gt;&lt;/FQL&gt;&lt;FQL&gt;&lt;Q&gt;MPC^FE_ESTIMATE(EPS,MEAN,QTR_ROLL,-0,0,,,'')&lt;/Q&gt;&lt;R&gt;1&lt;/R&gt;&lt;C&gt;1&lt;/C&gt;&lt;D xsi:type="xsd:double"&gt;4.07&lt;/D&gt;&lt;/FQL&gt;&lt;FQL&gt;&lt;Q&gt;MO^JULIAN(FF_EPS(QTR_R,0).DATES)&lt;/Q&gt;&lt;R&gt;1&lt;/R&gt;&lt;C&gt;1&lt;/C&gt;&lt;D xsi:type="xsd:long"&gt;46022&lt;/D&gt;&lt;/FQL&gt;&lt;FQL&gt;&lt;Q&gt;MAA^FE_ESTIMATE(EPS,MEAN,QTR_ROLL,-0,0,,,'')&lt;/Q&gt;&lt;R&gt;1&lt;/R&gt;&lt;C&gt;1&lt;/C&gt;&lt;D xsi:type="xsd:double"&gt;0.48&lt;/D&gt;&lt;/FQL&gt;&lt;FQL&gt;&lt;Q&gt;LYB^JULIAN(FF_EPS(QTR_R,0).DATES)&lt;/Q&gt;&lt;R&gt;1&lt;/R&gt;&lt;C&gt;1&lt;/C&gt;&lt;D xsi:type="xsd:long"&gt;46022&lt;/D&gt;&lt;/FQL&gt;&lt;FQL&gt;&lt;Q&gt;LULU^JULIAN(FF_EPS(QTR_R,0).DATES)&lt;/Q&gt;&lt;R&gt;1&lt;/R&gt;&lt;C&gt;1&lt;/C&gt;&lt;D xsi:type="xsd:long"&gt;46052&lt;/D&gt;&lt;/FQL&gt;&lt;FQL&gt;&lt;Q&gt;LIN^JULIAN(FF_EPS(QTR_R,0).DATES)&lt;/Q&gt;&lt;R&gt;1&lt;/R&gt;&lt;C&gt;1&lt;/C&gt;&lt;D xsi:type="xsd:long"&gt;46022&lt;/D&gt;&lt;/FQL&gt;&lt;FQL&gt;&lt;Q&gt;KMB^FF_EPS(QTR_R,0)&lt;/Q&gt;&lt;R&gt;1&lt;/R&gt;&lt;C&gt;1&lt;/C&gt;&lt;D xsi:type="xsd:double"&gt;1.4981&lt;/D&gt;&lt;/FQL&gt;&lt;FQL&gt;&lt;Q&gt;KEYS^FE_ESTIMATE(EPS,MEAN,QTR_ROLL,-0,0,,,'')&lt;/Q&gt;&lt;R&gt;1&lt;/R&gt;&lt;C&gt;1&lt;/C&gt;&lt;D xsi:type="xsd:double"&gt;2.17&lt;/D&gt;&lt;/FQL&gt;&lt;FQL&gt;&lt;Q&gt;K^FF_EPS(QTR_R,0)&lt;/Q&gt;&lt;R&gt;1&lt;/R&gt;&lt;C&gt;1&lt;/C&gt;&lt;D xsi:type="xsd:double"&gt;0.8829&lt;/D&gt;&lt;/FQL&gt;&lt;FQL&gt;&lt;Q&gt;JNJ^JULIAN(FF_EPS(QTR_R,0).DATES)&lt;/Q&gt;&lt;R&gt;1&lt;/R&gt;&lt;C&gt;1&lt;/C&gt;&lt;D xsi:type="xsd:long"&gt;46022&lt;/D&gt;&lt;/FQL&gt;&lt;FQL&gt;&lt;Q&gt;JBHT^FE_ESTIMATE(EPS,MEAN,QTR_ROLL,-0,0,,,'')&lt;/Q&gt;&lt;R&gt;1&lt;/R&gt;&lt;C&gt;1&lt;/C&gt;&lt;D xsi:type="xsd:double"&gt;1.9&lt;/D&gt;&lt;/FQL&gt;&lt;FQL&gt;&lt;Q&gt;IEX^JULIAN(FF_EPS(QTR_R,0).DATES)&lt;/Q&gt;&lt;R&gt;1&lt;/R&gt;&lt;C&gt;1&lt;/C&gt;&lt;D xsi:type="xsd:long"&gt;46022&lt;/D&gt;&lt;/FQL&gt;&lt;FQL&gt;&lt;Q&gt;HWM^FE_ESTIMATE(EPS,MEAN,QTR_ROLL,-0,0,,,'')&lt;/Q&gt;&lt;R&gt;1&lt;/R&gt;&lt;C&gt;1&lt;/C&gt;&lt;D xsi:type="xsd:double"&gt;1.05&lt;/D&gt;&lt;/FQL&gt;&lt;FQL&gt;&lt;Q&gt;HPQ^FE_ESTIMATE(EPS,MEAN,QTR_ROLL,-0,0,,,'')&lt;/Q&gt;&lt;R&gt;1&lt;/R&gt;&lt;C&gt;1&lt;/C&gt;&lt;D xsi:type="xsd:double"&gt;0.81&lt;/D&gt;&lt;/FQL&gt;&lt;FQL&gt;&lt;Q&gt;HOLX^FF_EPS(QTR_R,0)&lt;/Q&gt;&lt;R&gt;1&lt;/R&gt;&lt;C&gt;1&lt;/C&gt;&lt;D xsi:type="xsd:double"&gt;0.7929&lt;/D&gt;&lt;/FQL&gt;&lt;FQL&gt;&lt;Q&gt;GEHC^FF_EPS(QTR_R,0)&lt;/Q&gt;&lt;R&gt;1&lt;/R&gt;&lt;C&gt;1&lt;/C&gt;&lt;D xsi:type="xsd:double"&gt;1.2888&lt;/D&gt;&lt;/FQL&gt;&lt;FQL&gt;&lt;Q&gt;GD^JULIAN(FF_EPS(QTR_R,0).DATES)&lt;/Q&gt;&lt;R&gt;1&lt;/R&gt;&lt;C&gt;1&lt;/C&gt;&lt;D xsi:type="xsd:long"&gt;46022&lt;/D&gt;&lt;/FQL&gt;&lt;FQL&gt;&lt;Q&gt;FRT^FE_ESTIMATE(EPS,MEAN,QTR_ROLL,-0,0,,,'')&lt;/Q&gt;&lt;R&gt;1&lt;/R&gt;&lt;C&gt;1&lt;/C&gt;&lt;D xsi:type="xsd:double"&gt;1.48&lt;/D&gt;&lt;/FQL&gt;&lt;FQL&gt;&lt;Q&gt;FMC^FF_EPS(QTR_R,0)&lt;/Q&gt;&lt;R&gt;1&lt;/R&gt;&lt;C&gt;1&lt;/C&gt;&lt;D xsi:type="xsd:double"&gt;-13.778&lt;/D&gt;&lt;/FQL&gt;&lt;FQL&gt;&lt;Q&gt;FIS^JULIAN(FF_EPS(QTR_R,0).DATES)&lt;/Q&gt;&lt;R&gt;1&lt;/R&gt;&lt;C&gt;1&lt;/C&gt;&lt;D xsi:type="xsd:long"&gt;46022&lt;/D&gt;&lt;/FQL&gt;&lt;FQL&gt;&lt;Q&gt;FCX^FE_ESTIMATE(EPS,MEAN,QTR_ROLL,-0,0,,,'')&lt;/Q&gt;&lt;R&gt;1&lt;/R&gt;&lt;C&gt;1&lt;/C&gt;&lt;D xsi:type="xsd:double"&gt;0.47&lt;/D&gt;&lt;/FQL&gt;&lt;FQL&gt;&lt;Q&gt;FANG^FF_EPS(QTR_R,0)&lt;/Q&gt;&lt;R&gt;1&lt;/R&gt;&lt;C&gt;1&lt;/C&gt;&lt;D xsi:type="xsd:double"&gt;-5.0807&lt;/D&gt;&lt;/FQL&gt;&lt;FQL&gt;&lt;Q&gt;EXPE^JULIAN(FF_EPS(QTR_R,0).DATES)&lt;/Q&gt;&lt;R&gt;1&lt;/R&gt;&lt;C&gt;1&lt;/C&gt;&lt;D xsi:type="xsd:long"&gt;46022&lt;/D&gt;&lt;/FQL&gt;&lt;FQL&gt;&lt;Q&gt;EW^JULIAN(FF_EPS(QTR_R,0).DATES)&lt;/Q&gt;&lt;R&gt;1&lt;/R&gt;&lt;C&gt;1&lt;/C&gt;&lt;D xsi:type="xsd:long"&gt;46022&lt;/D&gt;&lt;/FQL&gt;&lt;FQL&gt;&lt;Q&gt;ETN^JULIAN(FF_EPS(QTR_R,0).DATES)&lt;/Q&gt;&lt;R&gt;1&lt;/R&gt;&lt;C&gt;1&lt;/C&gt;&lt;D xsi:type="xsd:long"&gt;46022&lt;/D&gt;&lt;/FQL&gt;&lt;FQL&gt;&lt;Q&gt;EQT^JULIAN(FF_EPS(QTR_R,0).DATES)&lt;/Q&gt;&lt;R&gt;1&lt;/R&gt;&lt;C&gt;1&lt;/C&gt;&lt;D xsi:type="xsd:long"&gt;46022&lt;/D&gt;&lt;/FQL&gt;&lt;FQL&gt;&lt;Q&gt;EPAM^JULIAN(FF_EPS(QTR_R,0).DATES)&lt;/Q&gt;&lt;R&gt;1&lt;/R&gt;&lt;C&gt;1&lt;/C&gt;&lt;D xsi:type="xsd:long"&gt;46022&lt;/D&gt;&lt;/FQL&gt;&lt;FQL&gt;&lt;Q&gt;EMR^JULIAN(FF_EPS(QTR_R,0).DATES)&lt;/Q&gt;&lt;R&gt;1&lt;/R&gt;&lt;C&gt;1&lt;/C&gt;&lt;D xsi:type="xsd:long"&gt;46022&lt;/D&gt;&lt;/FQL&gt;&lt;FQL&gt;&lt;Q&gt;EIX^JULIAN(FF_EPS(QTR_R,0).DATES)&lt;/Q&gt;&lt;R&gt;1&lt;/R&gt;&lt;C&gt;1&lt;/C&gt;&lt;D xsi:type="xsd:long"&gt;46022&lt;/D&gt;&lt;/FQL&gt;&lt;FQL&gt;&lt;Q&gt;ECL^JULIAN(FF_EPS(QTR_R,0).DATES)&lt;/Q&gt;&lt;R&gt;1&lt;/R&gt;&lt;C&gt;1&lt;/C&gt;&lt;D xsi:type="xsd:long"&gt;46022&lt;/D&gt;&lt;/FQL&gt;&lt;FQL&gt;&lt;Q&gt;DECK^FE_ESTIMATE(EPS,MEAN,QTR_ROLL,-0,0,,,'')&lt;/Q&gt;&lt;R&gt;1&lt;/R&gt;&lt;C&gt;1&lt;/C&gt;&lt;D xsi:type="xsd:double"&gt;3.33&lt;/D&gt;&lt;/FQL&gt;&lt;FQL&gt;&lt;Q&gt;DAY^FE_ESTIMATE(EPS,MEAN,QTR_ROLL,-0,0,,,'')&lt;/Q&gt;&lt;R&gt;1&lt;/R&gt;&lt;C&gt;1&lt;/C&gt;&lt;D xsi:type="xsd:double"&gt;0.37&lt;/D&gt;&lt;/FQL&gt;&lt;FQL&gt;&lt;Q&gt;WAT^JULIAN(FF_EPS(QTR_R,0).DATES)&lt;/Q&gt;&lt;R&gt;1&lt;/R&gt;&lt;C&gt;1&lt;/C&gt;&lt;D xsi:type="xsd:long"&gt;46022&lt;/D&gt;&lt;/FQL&gt;&lt;FQL&gt;&lt;Q&gt;VST^FE_ESTIMATE(EPS,MEAN,QTR_ROLL,-0,0,,,'')&lt;/Q&gt;&lt;R&gt;1&lt;/R&gt;&lt;C&gt;1&lt;/C&gt;&lt;D xsi:type="xsd:double"&gt;0.5420667&lt;/D&gt;&lt;/FQL&gt;&lt;FQL&gt;&lt;Q&gt;TDY^JULIAN(FF_EPS(QTR_R,0).DATES)&lt;/Q&gt;&lt;R&gt;1&lt;/R&gt;&lt;C&gt;1&lt;/C&gt;&lt;D xsi:type="xsd:long"&gt;46022&lt;/D&gt;&lt;/FQL&gt;&lt;FQL&gt;&lt;Q&gt;SYY^JULIAN(FF_EPS(QTR_R,0).DATES)&lt;/Q&gt;&lt;R&gt;1&lt;/R&gt;&lt;C&gt;1&lt;/C&gt;&lt;D xsi:type="xsd:long"&gt;46022&lt;/D&gt;&lt;/FQL&gt;&lt;FQL&gt;&lt;Q&gt;STZ^FE_ESTIMATE(EPS,MEAN,QTR_ROLL,-0,0,,,'')&lt;/Q&gt;&lt;R&gt;1&lt;/R&gt;&lt;C&gt;1&lt;/C&gt;&lt;D xsi:type="xsd:double"&gt;3.06&lt;/D&gt;&lt;/FQL&gt;&lt;FQL&gt;&lt;Q&gt;SMCI^JULIAN(FF_EPS(QTR_R,0).DATES)&lt;/Q&gt;&lt;R&gt;1&lt;/R&gt;&lt;C&gt;1&lt;/C&gt;&lt;D xsi:type="xsd:long"&gt;46022&lt;/D&gt;&lt;/FQL&gt;&lt;FQL&gt;&lt;Q&gt;RL^JULIAN(FF_EPS(QTR_R,0).DATES)&lt;/Q&gt;&lt;R&gt;1&lt;/R&gt;&lt;C&gt;1&lt;/C&gt;&lt;D xsi:type="xsd:long"&gt;46022&lt;/D&gt;&lt;/FQL&gt;&lt;FQL&gt;&lt;Q&gt;WYNN^FF_EPS(QTR_R,0)&lt;/Q&gt;&lt;R&gt;1&lt;/R&gt;&lt;C&gt;1&lt;/C&gt;&lt;D xsi:type="xsd:double"&gt;0.9631&lt;/D&gt;&lt;/FQL&gt;&lt;FQL&gt;&lt;Q&gt;WMB^FE_ESTIMATE(EPS,MEAN,QTR_ROLL,-0,0,,,'')&lt;/Q&gt;&lt;R&gt;1&lt;/R&gt;&lt;C&gt;1&lt;/C&gt;&lt;D xsi:type="xsd:double"&gt;0.55&lt;/D&gt;&lt;/FQL&gt;&lt;FQL&gt;&lt;Q&gt;VLO^FE_ESTIMATE(EPS,MEAN,QTR_ROLL,-0,0,,,'')&lt;/Q&gt;&lt;R&gt;1&lt;/R&gt;&lt;C&gt;1&lt;/C&gt;&lt;D xsi:type="xsd:double"&gt;3.82&lt;/D&gt;&lt;/FQL&gt;&lt;FQL&gt;&lt;Q&gt;UNH^FE_ESTIMATE(EPS,MEAN,QTR_ROLL,-0,0,,,'')&lt;/Q&gt;&lt;R&gt;1&lt;/R&gt;&lt;C&gt;1&lt;/C&gt;&lt;D xsi:type="xsd:double"&gt;2.11&lt;/D&gt;&lt;/FQL&gt;&lt;FQL&gt;&lt;Q&gt;TYL^FE_ESTIMATE(EPS,MEAN,QTR_ROLL,-0,0,,,'')&lt;/Q&gt;&lt;R&gt;1&lt;/R&gt;&lt;C&gt;1&lt;/C&gt;&lt;D xsi:type="xsd:double"&gt;2.64&lt;/D&gt;&lt;/FQL&gt;&lt;FQL&gt;&lt;Q&gt;TSLA^FE_ESTIMATE(EPS,MEAN,QTR_ROLL,-0,0,,,'')&lt;/Q&gt;&lt;R&gt;1&lt;/R&gt;&lt;C&gt;1&lt;/C&gt;&lt;D xsi:type="xsd:double"&gt;0.5&lt;/D&gt;&lt;/FQL&gt;&lt;FQL&gt;&lt;Q&gt;SWKS^JULIAN(FF_EPS(QTR_R,0).DATES)&lt;/Q&gt;&lt;R&gt;1&lt;/R&gt;&lt;C&gt;1&lt;/C&gt;&lt;D xsi:type="xsd:long"&gt;46022&lt;/D&gt;&lt;/FQL&gt;&lt;FQL&gt;&lt;Q&gt;STE^FE_ESTIMATE(EPS,MEAN,QTR_ROLL,-0,0,,,'')&lt;/Q&gt;&lt;R&gt;1&lt;/R&gt;&lt;C&gt;1&lt;/C&gt;&lt;D xsi:type="xsd:double"&gt;2.53&lt;/D&gt;&lt;/FQL&gt;&lt;FQL&gt;&lt;Q&gt;SHW^JULIAN(FF_EPS(QTR_R,0).DATES)&lt;/Q&gt;&lt;R&gt;1&lt;/R&gt;&lt;C&gt;1&lt;/C&gt;&lt;D xsi:type="xsd:long"&gt;46022&lt;/D&gt;&lt;/FQL&gt;&lt;FQL&gt;&lt;Q&gt;RTX^FE_ESTIMATE(EPS,MEAN,QTR_ROLL,-0,0,,,'')&lt;/Q&gt;&lt;R&gt;1&lt;/R&gt;&lt;C&gt;1&lt;/C&gt;&lt;D xsi:type="xsd:double"&gt;1.55&lt;/D&gt;&lt;/FQL&gt;&lt;FQL&gt;&lt;Q&gt;PTC^FE_ESTIMATE(EPS,MEAN,QTR_ROLL,-0,0,,,'')&lt;/Q&gt;&lt;R&gt;1&lt;/R&gt;&lt;C&gt;1&lt;/C&gt;&lt;D xsi:type="xsd:double"&gt;1.92&lt;/D&gt;&lt;/FQL&gt;&lt;FQL&gt;&lt;Q&gt;PFG^JULIAN(FF_EPS(QTR_R,0).DATES)&lt;/Q&gt;&lt;R&gt;1&lt;/R&gt;&lt;C&gt;1&lt;/C&gt;&lt;D xsi:type="xsd:long"&gt;46022&lt;/D&gt;&lt;/FQL&gt;&lt;FQL&gt;&lt;Q&gt;PCG^JULIAN(FF_EPS(QTR_R,0).DATES)&lt;/Q&gt;&lt;R&gt;1&lt;/R&gt;&lt;C&gt;1&lt;/C&gt;&lt;D xsi:type="xsd:long"&gt;46022&lt;/D&gt;&lt;/FQL&gt;&lt;FQL&gt;&lt;Q&gt;OXY^FE_ESTIMATE(EPS,MEAN,QTR_ROLL,-0,0,,,'')&lt;/Q&gt;&lt;R&gt;1&lt;/R&gt;&lt;C&gt;1&lt;/C&gt;&lt;D xsi:type="xsd:double"&gt;0.31&lt;/D&gt;&lt;/FQL&gt;&lt;FQL&gt;&lt;Q&gt;OMC^JULIAN(FF_EPS(QTR_R,0).DATES)&lt;/Q&gt;&lt;R&gt;1&lt;/R&gt;&lt;C&gt;1&lt;/C&gt;&lt;D xsi:type="xsd:long"&gt;46022&lt;/D&gt;&lt;/FQL&gt;&lt;FQL&gt;&lt;Q&gt;META^FF_EPS(QTR_R,0)&lt;/Q&gt;&lt;R&gt;1&lt;/R&gt;&lt;C&gt;1&lt;/C&gt;&lt;D xsi:type="xsd:double"&gt;8.8764&lt;/D&gt;&lt;/FQL&gt;&lt;FQL&gt;&lt;Q&gt;MCO^JULIAN(FF_EPS(QTR_R,0).DATES)&lt;/Q&gt;&lt;R&gt;1&lt;/R&gt;&lt;C&gt;1&lt;/C&gt;&lt;D xsi:type="xsd:long"&gt;46022&lt;/D&gt;&lt;/FQL&gt;&lt;FQL&gt;&lt;Q&gt;MAR^FF_EPS(QTR_R,0)&lt;/Q&gt;&lt;R&gt;1&lt;/R&gt;&lt;C&gt;1&lt;/C&gt;&lt;D xsi:type="xsd:double"&gt;1.6518&lt;/D&gt;&lt;/FQL&gt;&lt;FQL&gt;&lt;Q&gt;LW^FF_EPS(QTR_R,0)&lt;/Q&gt;&lt;R&gt;1&lt;/R&gt;&lt;C&gt;1&lt;/C&gt;&lt;D xsi:type="xsd:double"&gt;0.4448&lt;/D&gt;&lt;/FQL&gt;&lt;FQL&gt;&lt;Q&gt;LKQ^FE_ESTIMATE(EPS,MEAN,QTR_ROLL,-0,0,,,'')&lt;/Q&gt;&lt;R&gt;1&lt;/R&gt;&lt;C&gt;1&lt;/C&gt;&lt;D xsi:type="xsd:double"&gt;0.59&lt;/D&gt;&lt;/FQL&gt;&lt;FQL&gt;&lt;Q&gt;LEN^FF_EPS(QTR_R,0)&lt;/Q&gt;&lt;R&gt;1&lt;/R&gt;&lt;C&gt;1&lt;/C&gt;&lt;D xsi:type="xsd:double"&gt;0.9384&lt;/D&gt;&lt;/FQL&gt;&lt;FQL&gt;&lt;Q&gt;KO^FE_ESTIMATE(EPS,MEAN,QTR_ROLL,-0,0,,,'')&lt;/Q&gt;&lt;R&gt;1&lt;/R&gt;&lt;C&gt;1&lt;/C&gt;&lt;D xsi:type="xsd:double"&gt;0.58&lt;/D&gt;&lt;/FQL&gt;&lt;FQL&gt;&lt;Q&gt;KLAC^FF_EPS(QTR_R,0)&lt;/Q&gt;&lt;R&gt;1&lt;/R&gt;&lt;C&gt;1&lt;/C&gt;&lt;D xsi:type="xsd:double"&gt;8.7271&lt;/D&gt;&lt;/FQL&gt;&lt;FQL&gt;&lt;Q&gt;IT^FF_EPS(QTR_R,0)&lt;/Q&gt;&lt;R&gt;1&lt;/R&gt;&lt;C&gt;1&lt;/C&gt;&lt;D xsi:type="xsd:double"&gt;3.3578&lt;/D&gt;&lt;/FQL&gt;&lt;FQL&gt;&lt;Q&gt;IFF^JULIAN(FF_EPS(QTR_R,0).DATES)&lt;/Q&gt;&lt;R&gt;1&lt;/R&gt;&lt;C&gt;1&lt;/C&gt;&lt;D xsi:type="xsd:long"&gt;46022&lt;/D&gt;&lt;/FQL&gt;&lt;FQL&gt;&lt;Q&gt;HWM^FF_EPS(QTR_R,0)&lt;/Q&gt;&lt;R&gt;1&lt;/R&gt;&lt;C&gt;1&lt;/C&gt;&lt;D xsi:type="xsd:double"&gt;0.9208&lt;/D&gt;&lt;/FQL&gt;&lt;FQL&gt;&lt;Q&gt;HCA^JULIAN(FF_EPS(QTR_R,0).DATES)&lt;/Q&gt;&lt;R&gt;1&lt;/R&gt;&lt;C&gt;1&lt;/C&gt;&lt;D xsi:type="xsd:long"&gt;46022&lt;/D&gt;&lt;/FQL&gt;&lt;FQL&gt;&lt;Q&gt;GS^JULIAN(FF_EPS(QTR_R,0).DATES)&lt;/Q&gt;&lt;R&gt;1&lt;/R&gt;&lt;C&gt;1&lt;/C&gt;&lt;D xsi:type="xsd:long"&gt;46022&lt;/D&gt;&lt;/FQL&gt;&lt;FQL&gt;&lt;Q&gt;GD^FE_ESTIMATE(EPS,MEAN,QTR_ROLL,-0,0,,,'')&lt;/Q&gt;&lt;R&gt;1&lt;/R&gt;&lt;C&gt;1&lt;/C&gt;&lt;D xsi:type="xsd:double"&gt;4.17&lt;/D&gt;&lt;/FQL&gt;&lt;FQL&gt;&lt;Q&gt;FRT^JULIAN(FF_EPS(QTR_R,0).DATES)&lt;/Q&gt;&lt;R&gt;1&lt;/R&gt;&lt;C&gt;1&lt;/C&gt;&lt;D xsi:type="xsd:long"&gt;46022&lt;/D&gt;&lt;/FQL&gt;&lt;FQL&gt;&lt;Q&gt;FI^FF_EPS(QTR_R,0)&lt;/Q&gt;&lt;R&gt;1&lt;/R&gt;&lt;C&gt;1&lt;/C&gt;&lt;D xsi:type="xsd:double"&gt;1.5102&lt;/D&gt;&lt;/FQL&gt;&lt;FQL&gt;&lt;Q&gt;FDS^FF_EPS(QTR_R,0)&lt;/Q&gt;&lt;R&gt;1&lt;/R&gt;&lt;C&gt;1&lt;/C&gt;&lt;D xsi:type="xsd:double"&gt;4.0564&lt;/D&gt;&lt;/FQL&gt;&lt;FQL&gt;&lt;Q&gt;FANG^JULIAN(FF_EPS(QTR_R,0).DATES)&lt;/Q&gt;&lt;R&gt;1&lt;/R&gt;&lt;C&gt;1&lt;/C&gt;&lt;D xsi:type="xsd:long"&gt;46022&lt;/D&gt;&lt;/FQL&gt;&lt;FQL&gt;&lt;Q&gt;ETR^FE_ESTIMATE(EPS,MEAN,QTR_ROLL,-0,0,,,'')&lt;/Q&gt;&lt;R&gt;1&lt;/R&gt;&lt;C&gt;1&lt;/C&gt;&lt;D xsi:type="xsd:double"&gt;0.51&lt;/D&gt;&lt;/FQL&gt;&lt;FQL&gt;&lt;Q&gt;EMN^FF_EPS(QTR_R,0)&lt;/Q&gt;&lt;R&gt;1&lt;/R&gt;&lt;C&gt;1&lt;/C&gt;&lt;D xsi:type="xsd:double"&gt;0.9138&lt;/D&gt;&lt;/FQL&gt;&lt;FQL&gt;&lt;Q&gt;EA^JULIAN(FF_EPS(QTR_R,0).DATES)&lt;/Q&gt;&lt;R&gt;1&lt;/R&gt;&lt;C&gt;1&lt;/C&gt;&lt;D xsi:type="xsd:long"&gt;46022&lt;/D&gt;&lt;/FQL&gt;&lt;FQL&gt;&lt;Q&gt;DUK^FF_EPS(QTR_R,0)&lt;/Q&gt;&lt;R&gt;1&lt;/R&gt;&lt;C&gt;1&lt;/C&gt;&lt;D xsi:type="xsd:double"&gt;1.5026&lt;/D&gt;&lt;/FQL&gt;&lt;FQL&gt;&lt;Q&gt;DHR^FE_ESTIMATE(EPS,MEAN,QTR_ROLL,-0,0,,,'')&lt;/Q&gt;&lt;R&gt;1&lt;/R&gt;&lt;C&gt;1&lt;/C&gt;&lt;D xsi:type="xsd:double"&gt;2.23&lt;/D&gt;&lt;/FQL&gt;&lt;FQL&gt;&lt;Q&gt;DG^JULIAN(FF_EPS(QTR_R,0).DATES)&lt;/Q&gt;&lt;R&gt;1&lt;/R&gt;&lt;C&gt;1&lt;/C&gt;&lt;D xsi:type="xsd:long"&gt;46052&lt;/D&gt;&lt;/FQL&gt;&lt;FQL&gt;&lt;Q&gt;CSCO^JULIAN(FF_EPS(QTR_R,0).DATES)&lt;/Q&gt;&lt;R&gt;1&lt;/R&gt;&lt;C&gt;1&lt;/C&gt;&lt;D xsi:type="xsd:long"&gt;46052&lt;/D&gt;&lt;/FQL&gt;&lt;FQL&gt;&lt;Q&gt;CPAY^FF_EPS(QTR_R,0)&lt;/Q&gt;&lt;R&gt;1&lt;/R&gt;&lt;C&gt;1&lt;/C&gt;&lt;D xsi:type="xsd:double"&gt;3.7717&lt;/D&gt;&lt;/FQL&gt;&lt;FQL&gt;&lt;Q&gt;CNP^JULIAN(FF_EPS(QTR_R,0).DATES)&lt;/Q&gt;&lt;R&gt;1&lt;/R&gt;&lt;C&gt;1&lt;/C&gt;&lt;D xsi:type="xsd:long"&gt;46022&lt;/D&gt;&lt;/FQL&gt;&lt;FQL&gt;&lt;Q&gt;CDW^FF_EPS(QTR_R,0)&lt;/Q&gt;&lt;R&gt;1&lt;/R&gt;&lt;C&gt;1&lt;/C&gt;&lt;D xsi:type="xsd:double"&gt;2.1401&lt;/D&gt;&lt;/FQL&gt;&lt;FQL&gt;&lt;Q&gt;BKNG^JULIAN(FF_EPS(QTR_R,0).DATES)&lt;/Q&gt;&lt;R&gt;1&lt;/R&gt;&lt;C&gt;1&lt;/C&gt;&lt;D xsi:type="xsd:long"&gt;46022&lt;/D&gt;&lt;/FQL&gt;&lt;FQL&gt;&lt;Q&gt;BIIB^JULIAN(FF_EPS(QTR_R,0).DATES)&lt;/Q&gt;&lt;R&gt;1&lt;/R&gt;&lt;C&gt;1&lt;/C&gt;&lt;D xsi:type="xsd:long"&gt;46022&lt;/D&gt;&lt;/FQL&gt;&lt;FQL&gt;&lt;Q&gt;BEN^JULIAN(FF_EPS(QTR_R,0).DATES)&lt;/Q&gt;&lt;R&gt;1&lt;/R&gt;&lt;C&gt;1&lt;/C&gt;&lt;D xsi:type="xsd:long"&gt;46022&lt;/D&gt;&lt;/FQL&gt;&lt;FQL&gt;&lt;Q&gt;BBWI^JULIAN(FF_EPS(QTR_R,0).DATES)&lt;/Q&gt;&lt;R&gt;1&lt;/R&gt;&lt;C&gt;1&lt;/C&gt;&lt;D xsi:type="xsd:long"&gt;46052&lt;/D&gt;&lt;/FQL&gt;&lt;FQL&gt;&lt;Q&gt;BA^JULIAN(FF_EPS(QTR_R,0).DATES)&lt;/Q&gt;&lt;R&gt;1&lt;/R&gt;&lt;C&gt;1&lt;/C&gt;&lt;D xsi:type="xsd:long"&gt;46022&lt;/D&gt;&lt;/FQL&gt;&lt;FQL&gt;&lt;Q&gt;AWK^JULIAN(FF_EPS(QTR_R,0).DATES)&lt;/Q&gt;&lt;R&gt;1&lt;/R&gt;&lt;C&gt;1&lt;/C&gt;&lt;D xsi:type="xsd:long"&gt;46022&lt;/D&gt;&lt;/FQL&gt;&lt;FQL&gt;&lt;Q&gt;AVB^JULIAN(FF_EPS(QTR_R,0).DATES)&lt;/Q&gt;&lt;R&gt;1&lt;/R&gt;&lt;C&gt;1&lt;/C&gt;&lt;D xsi:type="xsd:long"&gt;46022&lt;/D&gt;&lt;/FQL&gt;&lt;FQL&gt;&lt;Q&gt;APTV^FE_ESTIMATE(EPS,MEAN,QTR_ROLL,-0,0,,,'')&lt;/Q&gt;&lt;R&gt;1&lt;/R&gt;&lt;C&gt;1&lt;/C&gt;&lt;D xsi:type="xsd:double"&gt;1.86&lt;/D&gt;&lt;/FQL&gt;&lt;FQL&gt;&lt;Q&gt;APA^FE_ESTIMATE(EPS,MEAN,QTR_ROLL,-0,0,,,'')&lt;/Q&gt;&lt;R&gt;1&lt;/R&gt;&lt;C&gt;1&lt;/C&gt;&lt;D xsi:type="xsd:double"&gt;0.91&lt;/D&gt;&lt;/FQL&gt;&lt;FQL&gt;&lt;Q&gt;ANSS^FE_ESTIMATE(EPS,MEAN,QTR_ROLL,-0,0,,,'')&lt;/Q&gt;&lt;R&gt;0&lt;/R&gt;&lt;C&gt;0&lt;/C&gt;&lt;/FQL&gt;&lt;FQL&gt;&lt;Q&gt;AMT^FE_ESTIMATE(EPS,MEAN,QTR_ROLL,-0,0,,,'')&lt;/Q&gt;&lt;R&gt;1&lt;/R&gt;&lt;C&gt;1&lt;/C&gt;&lt;D xsi:type="xsd:double"&gt;1.75&lt;/D&gt;&lt;/FQL&gt;&lt;FQL&gt;&lt;Q&gt;AME^FE_ESTIMATE(EPS,MEAN,QTR_ROLL,-0,0,,,'')&lt;/Q&gt;&lt;R&gt;1&lt;/R&gt;&lt;C&gt;1&lt;/C&gt;&lt;D xsi:type="xsd:double"&gt;2.01&lt;/D&gt;&lt;/FQL&gt;&lt;FQL&gt;&lt;Q&gt;AMAT^FE_ESTIMATE(EPS,MEAN,QTR_ROLL,-0,0,,,'')&lt;/Q&gt;&lt;R&gt;1&lt;/R&gt;&lt;C&gt;1&lt;/C&gt;&lt;D xsi:type="xsd:double"&gt;2.38&lt;/D&gt;&lt;/FQL&gt;&lt;FQL&gt;&lt;Q&gt;ALGN^FE_ESTIMATE(EPS,MEAN,QTR_ROLL,-0,0,,,'')&lt;/Q&gt;&lt;R&gt;1&lt;/R&gt;&lt;C&gt;1&lt;/C&gt;&lt;D xsi:type="xsd:double"&gt;3.29&lt;/D&gt;&lt;/FQL&gt;&lt;FQL&gt;&lt;Q&gt;AJG^FE_ESTIMATE(EPS,MEAN,QTR_ROLL,-0,0,,,'')&lt;/Q&gt;&lt;R&gt;1&lt;/R&gt;&lt;C&gt;1&lt;/C&gt;&lt;D xsi:type="xsd:double"&gt;2.38&lt;/D&gt;&lt;/FQL&gt;&lt;FQL&gt;&lt;Q&gt;STLD^FG_COMPANY_NAME&lt;/Q&gt;&lt;R&gt;1&lt;/R&gt;&lt;C&gt;1&lt;/C&gt;&lt;D xsi:type="xsd:string"&gt;Steel Dynamics, Inc.&lt;/D&gt;&lt;/FQL&gt;&lt;FQL&gt;&lt;Q&gt;SLB^FG_COMPANY_NAME&lt;/Q&gt;&lt;R&gt;1&lt;/R&gt;&lt;C&gt;1&lt;/C&gt;&lt;D xsi:type="xsd:string"&gt;SLB Limited&lt;/D&gt;&lt;/FQL&gt;&lt;FQL&gt;&lt;Q&gt;RSG^FG_COMPANY_NAME&lt;/Q&gt;&lt;R&gt;1&lt;/R&gt;&lt;C&gt;1&lt;/C&gt;&lt;D xsi:type="xsd:string"&gt;Republic Services, Inc.&lt;/D&gt;&lt;/FQL&gt;&lt;FQL&gt;&lt;Q&gt;PWR^FG_COMPANY_NAME&lt;/Q&gt;&lt;R&gt;1&lt;/R&gt;&lt;C&gt;1&lt;/C&gt;&lt;D xsi:type="xsd:string"&gt;Quanta Services, Inc.&lt;/D&gt;&lt;/FQL&gt;&lt;FQL&gt;&lt;Q&gt;PHM^FG_COMPANY_NAME&lt;/Q&gt;&lt;R&gt;1&lt;/R&gt;&lt;C&gt;1&lt;/C&gt;&lt;D xsi:type="xsd:string"&gt;PulteGroup, Inc.&lt;/D&gt;&lt;/FQL&gt;&lt;FQL&gt;&lt;Q&gt;NVR^FG_COMPANY_NAME&lt;/Q&gt;&lt;R&gt;1&lt;/R&gt;&lt;C&gt;1&lt;/C&gt;&lt;D xsi:type="xsd:string"&gt;NVR, Inc.&lt;/D&gt;&lt;/FQL&gt;&lt;FQL&gt;&lt;Q&gt;MU^FG_COMPANY_NAME&lt;/Q&gt;&lt;R&gt;1&lt;/R&gt;&lt;C&gt;1&lt;/C&gt;&lt;D xsi:type="xsd:string"&gt;Micron Technology, Inc.&lt;/D&gt;&lt;/FQL&gt;&lt;FQL&gt;&lt;Q&gt;MMM^FG_COMPANY_NAME&lt;/Q&gt;&lt;R&gt;1&lt;/R&gt;&lt;C&gt;1&lt;/C&gt;&lt;D xsi:type="xsd:string"&gt;3M Company&lt;/D&gt;&lt;/FQL&gt;&lt;FQL&gt;&lt;Q&gt;MAA^FG_COMPANY_NAME&lt;/Q&gt;&lt;R&gt;1&lt;/R&gt;&lt;C&gt;1&lt;/C&gt;&lt;D xsi:type="xsd:string"&gt;Mid-America Apartment Communities, Inc.&lt;/D&gt;&lt;/FQL&gt;&lt;FQL&gt;&lt;Q&gt;LEN^FG_COMPANY_NAME&lt;/Q&gt;&lt;R&gt;1&lt;/R&gt;&lt;C&gt;1&lt;/C&gt;&lt;D xsi:type="xsd:string"&gt;Lennar Corporation Class A&lt;/D&gt;&lt;/FQL&gt;&lt;FQL&gt;&lt;Q&gt;JNPR^FG_COMPANY_NAME&lt;/Q&gt;&lt;R&gt;1&lt;/R&gt;&lt;C&gt;1&lt;/C&gt;&lt;D xsi:type="xsd:string"&gt;Juniper Networks, Inc.&lt;/D&gt;&lt;/FQL&gt;&lt;FQL&gt;&lt;Q&gt;INTU^FG_COMPANY_NAME&lt;/Q&gt;&lt;R&gt;1&lt;/R&gt;&lt;C&gt;1&lt;/C&gt;&lt;D xsi:type="xsd:string"&gt;Intuit Inc.&lt;/D&gt;&lt;/FQL&gt;&lt;FQL&gt;&lt;Q&gt;GS^FG_COMPANY_NAME&lt;/Q&gt;&lt;R&gt;1&lt;/R&gt;&lt;C&gt;1&lt;/C&gt;&lt;D xsi:type="xsd:string"&gt;Goldman Sachs Group, Inc.&lt;/D&gt;&lt;/FQL&gt;&lt;FQL&gt;&lt;Q&gt;GD^FG_COMPANY_NAME&lt;/Q&gt;&lt;R&gt;1&lt;/R&gt;&lt;C&gt;1&lt;/C&gt;&lt;D xsi:type="xsd:string"&gt;General Dynamics Corporation&lt;/D&gt;&lt;/FQL&gt;&lt;FQL&gt;&lt;Q&gt;FCX^FG_COMPANY_NAME&lt;/Q&gt;&lt;R&gt;1&lt;/R&gt;&lt;C&gt;1&lt;/C&gt;&lt;D xsi:type="xsd:string"&gt;Freeport-McMoRan, Inc.&lt;/D&gt;&lt;/FQL&gt;&lt;FQL&gt;&lt;Q&gt;EQIX^FG_COMPANY_NAME&lt;/Q&gt;&lt;R&gt;1&lt;/R&gt;&lt;C&gt;1&lt;/C&gt;&lt;D xsi:type="xsd:string"&gt;Equinix, Inc.&lt;/D&gt;&lt;/FQL&gt;&lt;FQL&gt;&lt;Q&gt;DTE^FG_COMPANY_NAME&lt;/Q&gt;&lt;R&gt;1&lt;/R&gt;&lt;C&gt;1&lt;/C&gt;&lt;D xsi:type="xsd:string"&gt;DTE Energy Company&lt;/D&gt;&lt;/FQL&gt;&lt;FQL&gt;&lt;Q&gt;D^FG_COMPANY_NAME&lt;/Q&gt;&lt;R&gt;1&lt;/R&gt;&lt;C&gt;1&lt;/C&gt;&lt;D xsi:type="xsd:string"&gt;Dominion Energy Inc&lt;/D&gt;&lt;/FQL&gt;&lt;FQL&gt;&lt;Q&gt;CPB^FG_COMPANY_NAME&lt;/Q&gt;&lt;R&gt;1&lt;/R&gt;&lt;C&gt;1&lt;/C&gt;&lt;D xsi:type="xsd:string"&gt;Campbell's Company&lt;/D&gt;&lt;/FQL&gt;&lt;FQL&gt;&lt;Q&gt;CDW^FG_COMPANY_NAME&lt;/Q&gt;&lt;R&gt;1&lt;/R&gt;&lt;C&gt;1&lt;/C&gt;&lt;D xsi:type="xsd:string"&gt;CDW Corporation&lt;/D&gt;&lt;/FQL&gt;&lt;FQL&gt;&lt;Q&gt;CAT^FG_COMPANY_NAME&lt;/Q&gt;&lt;R&gt;1&lt;/R&gt;&lt;C&gt;1&lt;/C&gt;&lt;D xsi:type="xsd:string"&gt;Caterpillar Inc.&lt;/D&gt;&lt;/FQL&gt;&lt;FQL&gt;&lt;Q&gt;BSX^FG_COMPANY_NAME&lt;/Q&gt;&lt;R&gt;1&lt;/R&gt;&lt;C&gt;1&lt;/C&gt;&lt;D xsi:type="xsd:string"&gt;Boston Scientific Corporation&lt;/D&gt;&lt;/FQL&gt;&lt;FQL&gt;&lt;Q&gt;BKNG^FG_COMPANY_NAME&lt;/Q&gt;&lt;R&gt;1&lt;/R&gt;&lt;C&gt;1&lt;/C&gt;&lt;D xsi:type="xsd:string"&gt;Booking Holdings Inc.&lt;/D&gt;&lt;/FQL&gt;&lt;FQL&gt;&lt;Q&gt;BBY^FG_COMPANY_NAME&lt;/Q&gt;&lt;R&gt;1&lt;/R&gt;&lt;C&gt;1&lt;/C&gt;&lt;D xsi:type="xsd:string"&gt;Best Buy Co., Inc.&lt;/D&gt;&lt;/FQL&gt;&lt;FQL&gt;&lt;Q&gt;AVY^FG_COMPANY_NAME&lt;/Q&gt;&lt;R&gt;1&lt;/R&gt;&lt;C&gt;1&lt;/C&gt;&lt;D xsi:type="xsd:string"&gt;Avery Dennison Corporation&lt;/D&gt;&lt;/FQL&gt;&lt;FQL&gt;&lt;Q&gt;APD^FG_COMPANY_NAME&lt;/Q&gt;&lt;R&gt;1&lt;/R&gt;&lt;C&gt;1&lt;/C&gt;&lt;D xsi:type="xsd:string"&gt;Air Products and Chemicals, Inc.&lt;/D&gt;&lt;/FQL&gt;&lt;FQL&gt;&lt;Q&gt;AMP^FG_COMPANY_NAME&lt;/Q&gt;&lt;R&gt;1&lt;/R&gt;&lt;C&gt;1&lt;/C&gt;&lt;D xsi:type="xsd:string"&gt;Ameriprise Financial, Inc.&lt;/D&gt;&lt;/FQL&gt;&lt;FQL&gt;&lt;Q&gt;ALGN^FG_COMPANY_NAME&lt;/Q&gt;&lt;R&gt;1&lt;/R&gt;&lt;C&gt;1&lt;/C&gt;&lt;D xsi:type="xsd:string"&gt;Align Technology, Inc.&lt;/D&gt;&lt;/FQL&gt;&lt;FQL&gt;&lt;Q&gt;AEP^FG_COMPANY_NAME&lt;/Q&gt;&lt;R&gt;1&lt;/R&gt;&lt;C&gt;1&lt;/C&gt;&lt;D xsi:type="xsd:string"&gt;American Electric Power Company, Inc.&lt;/D&gt;&lt;/FQL&gt;&lt;FQL&gt;&lt;Q&gt;ACGL^FG_COMPANY_NAME&lt;/Q&gt;&lt;R&gt;1&lt;/R&gt;&lt;C&gt;1&lt;/C&gt;&lt;D xsi:type="xsd:string"&gt;Arch Capital Group Ltd.&lt;/D&gt;&lt;/FQL&gt;&lt;FQL&gt;&lt;Q&gt;ZION^JULIAN(FF_EPS(QTR_R,0).DATES)&lt;/Q&gt;&lt;R&gt;1&lt;/R&gt;&lt;C&gt;1&lt;/C&gt;&lt;D xsi:type="xsd:long"&gt;46022&lt;/D&gt;&lt;/FQL&gt;&lt;FQL&gt;&lt;Q&gt;WYNN^JULIAN(FF_EPS(QTR_R,0).DATES)&lt;/Q&gt;&lt;R&gt;1&lt;/R&gt;&lt;C&gt;1&lt;/C&gt;&lt;D xsi:type="xsd:long"&gt;46022&lt;/D&gt;&lt;/FQL&gt;&lt;FQL&gt;&lt;Q&gt;WMB^FF_EPS(QTR_R,0)&lt;/Q&gt;&lt;R&gt;1&lt;/R&gt;&lt;C&gt;1&lt;/C&gt;&lt;D xsi:type="xsd:double"&gt;0.5979&lt;/D&gt;&lt;/FQL&gt;&lt;FQL&gt;&lt;Q&gt;VST^FF_EPS(QTR_R,0)&lt;/Q&gt;&lt;R&gt;1&lt;/R&gt;&lt;C&gt;1&lt;/C&gt;&lt;D xsi:type="xsd:double"&gt;0.5464&lt;/D&gt;&lt;/FQL&gt;&lt;FQL&gt;&lt;Q&gt;VLO^FF_EPS(QTR_R,0)&lt;/Q&gt;&lt;R&gt;1&lt;/R&gt;&lt;C&gt;1&lt;/C&gt;&lt;D xsi:type="xsd:double"&gt;3.7294&lt;/D&gt;&lt;/FQL&gt;&lt;FQL&gt;&lt;Q&gt;TYL^FF_EPS(QTR_R,0)&lt;/Q&gt;&lt;R&gt;1&lt;/R&gt;&lt;C&gt;1&lt;/C&gt;&lt;D xsi:type="xsd:double"&gt;1.505&lt;/D&gt;&lt;/FQL&gt;&lt;FQL&gt;&lt;Q&gt;TMUS^FE_ESTIMATE(EPS,MEAN,QTR_ROLL,-0,0,,,'')&lt;/Q&gt;&lt;R&gt;1&lt;/R&gt;&lt;C&gt;1&lt;/C&gt;&lt;D xsi:type="xsd:double"&gt;1.88&lt;/D&gt;&lt;/FQL&gt;&lt;FQL&gt;&lt;Q&gt;TAP^FF_EPS(QTR_R,0)&lt;/Q&gt;&lt;R&gt;1&lt;/R&gt;&lt;C&gt;1&lt;/C&gt;&lt;D xsi:type="xsd:double"&gt;1.2177&lt;/D&gt;&lt;/FQL&gt;&lt;FQL&gt;&lt;Q&gt;REG^FE_ESTIMATE(EPS,MEAN,QTR_ROLL,-0,0,,,'')&lt;/Q&gt;&lt;R&gt;1&lt;/R&gt;&lt;C&gt;1&lt;/C&gt;&lt;D xsi:type="xsd:double"&gt;1.09&lt;/D&gt;&lt;/FQL&gt;&lt;FQL&gt;&lt;Q&gt;QCOM^JULIAN(FF_EPS(QTR_R,0).DATES)&lt;/Q&gt;&lt;R&gt;1&lt;/R&gt;&lt;C&gt;1&lt;/C&gt;&lt;D xsi:type="xsd:long"&gt;46022&lt;/D&gt;&lt;/FQL&gt;&lt;FQL&gt;&lt;Q&gt;PTC^FF_EPS(QTR_R,0)&lt;/Q&gt;&lt;R&gt;1&lt;/R&gt;&lt;C&gt;1&lt;/C&gt;&lt;D xsi:type="xsd:double"&gt;1.3878&lt;/D&gt;&lt;/FQL&gt;&lt;FQL&gt;&lt;Q&gt;PNC^FF_EPS(QTR_R,0)&lt;/Q&gt;&lt;R&gt;1&lt;/R&gt;&lt;C&gt;1&lt;/C&gt;&lt;D xsi:type="xsd:double"&gt;4.8782&lt;/D&gt;&lt;/FQL&gt;&lt;FQL&gt;&lt;Q&gt;PHM^FF_EPS(QTR_R,0)&lt;/Q&gt;&lt;R&gt;1&lt;/R&gt;&lt;C&gt;1&lt;/C&gt;&lt;D xsi:type="xsd:double"&gt;2.5621&lt;/D&gt;&lt;/FQL&gt;&lt;FQL&gt;&lt;Q&gt;PFE^FE_ESTIMATE(EPS,MEAN,QTR_ROLL,-0,0,,,'')&lt;/Q&gt;&lt;R&gt;1&lt;/R&gt;&lt;C&gt;1&lt;/C&gt;&lt;D xsi:type="xsd:double"&gt;0.66&lt;/D&gt;&lt;/FQL&gt;&lt;FQL&gt;&lt;Q&gt;ZBH^JULIAN(FF_EPS(QTR_R,0).DATES)&lt;/Q&gt;&lt;R&gt;1&lt;/R&gt;&lt;C&gt;1&lt;/C&gt;&lt;D xsi:type="xsd:long"&gt;46022&lt;/D&gt;&lt;/FQL&gt;&lt;FQL&gt;&lt;Q&gt;WELL^FF_EPS(QTR_R,0)&lt;/Q&gt;&lt;R&gt;1&lt;/R&gt;&lt;C&gt;1&lt;/C&gt;&lt;D xsi:type="xsd:double"&gt;-1.859&lt;/D&gt;&lt;/FQL&gt;&lt;FQL&gt;&lt;Q&gt;WAB^FF_EPS(QTR_R,0)&lt;/Q&gt;&lt;R&gt;1&lt;/R&gt;&lt;C&gt;1&lt;/C&gt;&lt;D xsi:type="xsd:double"&gt;1.1813&lt;/D&gt;&lt;/FQL&gt;&lt;FQL&gt;&lt;Q&gt;USB^FE_ESTIMATE(EPS,MEAN,QTR_ROLL,-0,0,,,'')&lt;/Q&gt;&lt;R&gt;1&lt;/R&gt;&lt;C&gt;1&lt;/C&gt;&lt;D xsi:type="xsd:double"&gt;1.26&lt;/D&gt;&lt;/FQL&gt;&lt;FQL&gt;&lt;Q&gt;UHS^FF_EPS(QTR_R,0)&lt;/Q&gt;&lt;R&gt;1&lt;/R&gt;&lt;C&gt;1&lt;/C&gt;&lt;D xsi:type="xsd:double"&gt;7.0608&lt;/D&gt;&lt;/FQL&gt;&lt;FQL&gt;&lt;Q&gt;TROW^FE_ESTIMATE(EPS,MEAN,QTR_ROLL,-0,0,,,'')&lt;/Q&gt;&lt;R&gt;1&lt;/R&gt;&lt;C&gt;1&lt;/C&gt;&lt;D xsi:type="xsd:double"&gt;2.44&lt;/D&gt;&lt;/FQL&gt;&lt;FQL&gt;&lt;Q&gt;TJX^FF_EPS(QTR_R,0)&lt;/Q&gt;&lt;R&gt;1&lt;/R&gt;&lt;C&gt;1&lt;/C&gt;&lt;D xsi:type="xsd:double"&gt;1.576&lt;/D&gt;&lt;/FQL&gt;&lt;FQL&gt;&lt;Q&gt;TEL^FF_EPS(QTR_R,0)&lt;/Q&gt;&lt;R&gt;1&lt;/R&gt;&lt;C&gt;1&lt;/C&gt;&lt;D xsi:type="xsd:double"&gt;2.5253&lt;/D&gt;&lt;/FQL&gt;&lt;FQL&gt;&lt;Q&gt;SRE^JULIAN(FF_EPS(QTR_R,0).DATES)&lt;/Q&gt;&lt;R&gt;1&lt;/R&gt;&lt;C&gt;1&lt;/C&gt;&lt;D xsi:type="xsd:long"&gt;46022&lt;/D&gt;&lt;/FQL&gt;&lt;FQL&gt;&lt;Q&gt;RSG^JULIAN(FF_EPS(QTR_R,0).DATES)&lt;/Q&gt;&lt;R&gt;1&lt;/R&gt;&lt;C&gt;1&lt;/C&gt;&lt;D xsi:type="xsd:long"&gt;46022&lt;/D&gt;&lt;/FQL&gt;&lt;FQL&gt;&lt;Q&gt;RL^FF_EPS(QTR_R,0)&lt;/Q&gt;&lt;R&gt;1&lt;/R&gt;&lt;C&gt;1&lt;/C&gt;&lt;D xsi:type="xsd:double"&gt;5.8135&lt;/D&gt;&lt;/FQL&gt;&lt;FQL&gt;&lt;Q&gt;PXD^FE_ESTIMATE(EPS,MEAN,QTR_ROLL,-0,0,,,'')&lt;/Q&gt;&lt;R&gt;0&lt;/R&gt;&lt;C&gt;0&lt;/C&gt;&lt;/FQL&gt;&lt;FQL&gt;&lt;Q&gt;PSA^JULIAN(FF_EPS(QTR_R,0).DATES)&lt;/Q&gt;&lt;R&gt;1&lt;/R&gt;&lt;C&gt;1&lt;/C&gt;&lt;D xsi:type="xsd:long"&gt;46022&lt;/D&gt;&lt;/FQL&gt;&lt;FQL&gt;&lt;Q&gt;PEP^JULIAN(FF_EPS(QTR_R,0).DATES)&lt;/Q&gt;&lt;R&gt;1&lt;/R&gt;&lt;C&gt;1&lt;/C&gt;&lt;D xsi:type="xsd:long"&gt;46022&lt;/D&gt;&lt;/FQL&gt;&lt;FQL&gt;&lt;Q&gt;PAYC^FE_ESTIMATE(EPS,MEAN,QTR_ROLL,-0,0,,,'')&lt;/Q&gt;&lt;R&gt;1&lt;/R&gt;&lt;C&gt;1&lt;/C&gt;&lt;D xsi:type="xsd:double"&gt;2.45&lt;/D&gt;&lt;/FQL&gt;&lt;FQL&gt;&lt;Q&gt;ORLY^JULIAN(FF_EPS(QTR_R,0).DATES)&lt;/Q&gt;&lt;R&gt;1&lt;/R&gt;&lt;C&gt;1&lt;/C&gt;&lt;D xsi:type="xsd:long"&gt;46022&lt;/D&gt;&lt;/FQL&gt;&lt;FQL&gt;&lt;Q&gt;MMM^FF_EPS(QTR_R,0)&lt;/Q&gt;&lt;R&gt;1&lt;/R&gt;&lt;C&gt;1&lt;/C&gt;&lt;D xsi:type="xsd:double"&gt;1.0705&lt;/D&gt;&lt;/FQL&gt;&lt;FQL&gt;&lt;Q&gt;MKC^JULIAN(FF_EPS(QTR_R,0).DATES)&lt;/Q&gt;&lt;R&gt;1&lt;/R&gt;&lt;C&gt;1&lt;/C&gt;&lt;D xsi:type="xsd:long"&gt;45989&lt;/D&gt;&lt;/FQL&gt;&lt;FQL&gt;&lt;Q&gt;MCD^FE_ESTIMATE(EPS,MEAN,QTR_ROLL,-0,0,,,'')&lt;/Q&gt;&lt;R&gt;1&lt;/R&gt;&lt;C&gt;1&lt;/C&gt;&lt;D xsi:type="xsd:double"&gt;3.12&lt;/D&gt;&lt;/FQL&gt;&lt;FQL&gt;&lt;Q&gt;MA^JULIAN(FF_EPS(QTR_R,0).DATES)&lt;/Q&gt;&lt;R&gt;1&lt;/R&gt;&lt;C&gt;1&lt;/C&gt;&lt;D xsi:type="xsd:long"&gt;46022&lt;/D&gt;&lt;/FQL&gt;&lt;FQL&gt;&lt;Q&gt;LNT^FF_EPS(QTR_R,0)&lt;/Q&gt;&lt;R&gt;1&lt;/R&gt;&lt;C&gt;1&lt;/C&gt;&lt;D xsi:type="xsd:double"&gt;0.5487&lt;/D&gt;&lt;/FQL&gt;&lt;FQL&gt;&lt;Q&gt;KMX^JULIAN(FF_EPS(QTR_R,0).DATES)&lt;/Q&gt;&lt;R&gt;1&lt;/R&gt;&lt;C&gt;1&lt;/C&gt;&lt;D xsi:type="xsd:long"&gt;45989&lt;/D&gt;&lt;/FQL&gt;&lt;FQL&gt;&lt;Q&gt;KIM^JULIAN(FF_EPS(QTR_R,0).DATES)&lt;/Q&gt;&lt;R&gt;1&lt;/R&gt;&lt;C&gt;1&lt;/C&gt;&lt;D xsi:type="xsd:long"&gt;46022&lt;/D&gt;&lt;/FQL&gt;&lt;FQL&gt;&lt;Q&gt;J^JULIAN(FF_EPS(QTR_R,0).DATES)&lt;/Q&gt;&lt;R&gt;1&lt;/R&gt;&lt;C&gt;1&lt;/C&gt;&lt;D xsi:type="xsd:long"&gt;46022&lt;/D&gt;&lt;/FQL&gt;&lt;FQL&gt;&lt;Q&gt;WY^FF_EPS(QTR_R,0)&lt;/Q&gt;&lt;R&gt;1&lt;/R&gt;&lt;C&gt;1&lt;/C&gt;&lt;D xsi:type="xsd:double"&gt;0.1025&lt;/D&gt;&lt;/FQL&gt;&lt;FQL&gt;&lt;Q&gt;WEC^JULIAN(FF_EPS(QTR_R,0).DATES)&lt;/Q&gt;&lt;R&gt;1&lt;/R&gt;&lt;C&gt;1&lt;/C&gt;&lt;D xsi:type="xsd:long"&gt;46022&lt;/D&gt;&lt;/FQL&gt;&lt;FQL&gt;&lt;Q&gt;VTR^FE_ESTIMATE(EPS,MEAN,QTR_ROLL,-0,0,,,'')&lt;/Q&gt;&lt;R&gt;1&lt;/R&gt;&lt;C&gt;1&lt;/C&gt;&lt;D xsi:type="xsd:double"&gt;0.15&lt;/D&gt;&lt;/FQL&gt;&lt;FQL&gt;&lt;Q&gt;ULTA^JULIAN(FF_EPS(QTR_R,0).DATES)&lt;/Q&gt;&lt;R&gt;1&lt;/R&gt;&lt;C&gt;1&lt;/C&gt;&lt;D xsi:type="xsd:long"&gt;46052&lt;/D&gt;&lt;/FQL&gt;&lt;FQL&gt;&lt;Q&gt;TRMB^FF_EPS(QTR_R,0)&lt;/Q&gt;&lt;R&gt;1&lt;/R&gt;&lt;C&gt;1&lt;/C&gt;&lt;D xsi:type="xsd</t>
        </r>
      </text>
    </comment>
    <comment ref="A3" authorId="0" shapeId="0" xr:uid="{D22B303A-221E-4E16-A49A-3806559DC31A}">
      <text>
        <r>
          <rPr>
            <b/>
            <sz val="9"/>
            <color indexed="81"/>
            <rFont val="Tahoma"/>
            <charset val="1"/>
          </rPr>
          <t>:double"&gt;0.653&lt;/D&gt;&lt;/FQL&gt;&lt;FQL&gt;&lt;Q&gt;T^FE_ESTIMATE(EPS,MEAN,QTR_ROLL,-0,0,,,'')&lt;/Q&gt;&lt;R&gt;1&lt;/R&gt;&lt;C&gt;1&lt;/C&gt;&lt;D xsi:type="xsd:double"&gt;0.52&lt;/D&gt;&lt;/FQL&gt;&lt;FQL&gt;&lt;Q&gt;STZ^JULIAN(FF_EPS(QTR_R,0).DATES)&lt;/Q&gt;&lt;R&gt;1&lt;/R&gt;&lt;C&gt;1&lt;/C&gt;&lt;D xsi:type="xsd:long"&gt;45989&lt;/D&gt;&lt;/FQL&gt;&lt;FQL&gt;&lt;Q&gt;RTX^FF_EPS(QTR_R,0)&lt;/Q&gt;&lt;R&gt;1&lt;/R&gt;&lt;C&gt;1&lt;/C&gt;&lt;D xsi:type="xsd:double"&gt;1.1912&lt;/D&gt;&lt;/FQL&gt;&lt;FQL&gt;&lt;Q&gt;RMD^JULIAN(FF_EPS(QTR_R,0).DATES)&lt;/Q&gt;&lt;R&gt;1&lt;/R&gt;&lt;C&gt;1&lt;/C&gt;&lt;D xsi:type="xsd:long"&gt;46022&lt;/D&gt;&lt;/FQL&gt;&lt;FQL&gt;&lt;Q&gt;PVH^FE_ESTIMATE(EPS,MEAN,QTR_ROLL,-0,0,,,'')&lt;/Q&gt;&lt;R&gt;1&lt;/R&gt;&lt;C&gt;1&lt;/C&gt;&lt;D xsi:type="xsd:double"&gt;2.83&lt;/D&gt;&lt;/FQL&gt;&lt;FQL&gt;&lt;Q&gt;PPL^FF_EPS(QTR_R,0)&lt;/Q&gt;&lt;R&gt;1&lt;/R&gt;&lt;C&gt;1&lt;/C&gt;&lt;D xsi:type="xsd:double"&gt;0.357&lt;/D&gt;&lt;/FQL&gt;&lt;FQL&gt;&lt;Q&gt;PGR^FE_ESTIMATE(EPS,MEAN,QTR_ROLL,-0,0,,,'')&lt;/Q&gt;&lt;R&gt;1&lt;/R&gt;&lt;C&gt;1&lt;/C&gt;&lt;D xsi:type="xsd:double"&gt;4.582925&lt;/D&gt;&lt;/FQL&gt;&lt;FQL&gt;&lt;Q&gt;NI^FF_EPS(QTR_R,0)&lt;/Q&gt;&lt;R&gt;1&lt;/R&gt;&lt;C&gt;1&lt;/C&gt;&lt;D xsi:type="xsd:double"&gt;0.5349&lt;/D&gt;&lt;/FQL&gt;&lt;FQL&gt;&lt;Q&gt;MOH^JULIAN(FF_EPS(QTR_R,0).DATES)&lt;/Q&gt;&lt;R&gt;1&lt;/R&gt;&lt;C&gt;1&lt;/C&gt;&lt;D xsi:type="xsd:long"&gt;46022&lt;/D&gt;&lt;/FQL&gt;&lt;FQL&gt;&lt;Q&gt;MET^FF_EPS(QTR_R,0)&lt;/Q&gt;&lt;R&gt;1&lt;/R&gt;&lt;C&gt;1&lt;/C&gt;&lt;D xsi:type="xsd:double"&gt;1.1749&lt;/D&gt;&lt;/FQL&gt;&lt;FQL&gt;&lt;Q&gt;LYV^FE_ESTIMATE(EPS,MEAN,QTR_ROLL,-0,0,,,'')&lt;/Q&gt;&lt;R&gt;1&lt;/R&gt;&lt;C&gt;1&lt;/C&gt;&lt;D xsi:type="xsd:double"&gt;-1.06&lt;/D&gt;&lt;/FQL&gt;&lt;FQL&gt;&lt;Q&gt;LLY^FF_EPS(QTR_R,0)&lt;/Q&gt;&lt;R&gt;1&lt;/R&gt;&lt;C&gt;1&lt;/C&gt;&lt;D xsi:type="xsd:double"&gt;7.0237&lt;/D&gt;&lt;/FQL&gt;&lt;FQL&gt;&lt;Q&gt;KIM^FE_ESTIMATE(EPS,MEAN,QTR_ROLL,-0,0,,,'')&lt;/Q&gt;&lt;R&gt;1&lt;/R&gt;&lt;C&gt;1&lt;/C&gt;&lt;D xsi:type="xsd:double"&gt;0.21&lt;/D&gt;&lt;/FQL&gt;&lt;FQL&gt;&lt;Q&gt;KDP^JULIAN(FF_EPS(QTR_R,0).DATES)&lt;/Q&gt;&lt;R&gt;1&lt;/R&gt;&lt;C&gt;1&lt;/C&gt;&lt;D xsi:type="xsd:long"&gt;46022&lt;/D&gt;&lt;/FQL&gt;&lt;FQL&gt;&lt;Q&gt;INTU^FE_ESTIMATE(EPS,MEAN,QTR_ROLL,-0,0,,,'')&lt;/Q&gt;&lt;R&gt;1&lt;/R&gt;&lt;C&gt;1&lt;/C&gt;&lt;D xsi:type="xsd:double"&gt;4.15&lt;/D&gt;&lt;/FQL&gt;&lt;FQL&gt;&lt;Q&gt;HST^JULIAN(FF_EPS(QTR_R,0).DATES)&lt;/Q&gt;&lt;R&gt;1&lt;/R&gt;&lt;C&gt;1&lt;/C&gt;&lt;D xsi:type="xsd:long"&gt;46022&lt;/D&gt;&lt;/FQL&gt;&lt;FQL&gt;&lt;Q&gt;GRMN^FF_EPS(QTR_R,0)&lt;/Q&gt;&lt;R&gt;1&lt;/R&gt;&lt;C&gt;1&lt;/C&gt;&lt;D xsi:type="xsd:double"&gt;2.7283&lt;/D&gt;&lt;/FQL&gt;&lt;FQL&gt;&lt;Q&gt;GIS^FE_ESTIMATE(EPS,MEAN,QTR_ROLL,-0,0,,,'')&lt;/Q&gt;&lt;R&gt;1&lt;/R&gt;&lt;C&gt;1&lt;/C&gt;&lt;D xsi:type="xsd:double"&gt;0.64&lt;/D&gt;&lt;/FQL&gt;&lt;FQL&gt;&lt;Q&gt;GE^FE_ESTIMATE(EPS,MEAN,QTR_ROLL,-0,0,,,'')&lt;/Q&gt;&lt;R&gt;1&lt;/R&gt;&lt;C&gt;1&lt;/C&gt;&lt;D xsi:type="xsd:double"&gt;1.57&lt;/D&gt;&lt;/FQL&gt;&lt;FQL&gt;&lt;Q&gt;FAST^FF_EPS(QTR_R,0)&lt;/Q&gt;&lt;R&gt;1&lt;/R&gt;&lt;C&gt;1&lt;/C&gt;&lt;D xsi:type="xsd:double"&gt;0.2556&lt;/D&gt;&lt;/FQL&gt;&lt;FQL&gt;&lt;Q&gt;EXPD^FE_ESTIMATE(EPS,MEAN,QTR_ROLL,-0,0,,,'')&lt;/Q&gt;&lt;R&gt;1&lt;/R&gt;&lt;C&gt;1&lt;/C&gt;&lt;D xsi:type="xsd:double"&gt;1.49&lt;/D&gt;&lt;/FQL&gt;&lt;FQL&gt;&lt;Q&gt;EVRG^JULIAN(FF_EPS(QTR_R,0).DATES)&lt;/Q&gt;&lt;R&gt;1&lt;/R&gt;&lt;C&gt;1&lt;/C&gt;&lt;D xsi:type="xsd:long"&gt;46022&lt;/D&gt;&lt;/FQL&gt;&lt;FQL&gt;&lt;Q&gt;ES^FF_EPS(QTR_R,0)&lt;/Q&gt;&lt;R&gt;1&lt;/R&gt;&lt;C&gt;1&lt;/C&gt;&lt;D xsi:type="xsd:double"&gt;1.12&lt;/D&gt;&lt;/FQL&gt;&lt;FQL&gt;&lt;Q&gt;EOG^FE_ESTIMATE(EPS,MEAN,QTR_ROLL,-0,0,,,'')&lt;/Q&gt;&lt;R&gt;1&lt;/R&gt;&lt;C&gt;1&lt;/C&gt;&lt;D xsi:type="xsd:double"&gt;2.27&lt;/D&gt;&lt;/FQL&gt;&lt;FQL&gt;&lt;Q&gt;ED^JULIAN(FF_EPS(QTR_R,0).DATES)&lt;/Q&gt;&lt;R&gt;1&lt;/R&gt;&lt;C&gt;1&lt;/C&gt;&lt;D xsi:type="xsd:long"&gt;46022&lt;/D&gt;&lt;/FQL&gt;&lt;FQL&gt;&lt;Q&gt;DVN^FE_ESTIMATE(EPS,MEAN,QTR_ROLL,-0,0,,,'')&lt;/Q&gt;&lt;R&gt;1&lt;/R&gt;&lt;C&gt;1&lt;/C&gt;&lt;D xsi:type="xsd:double"&gt;0.82&lt;/D&gt;&lt;/FQL&gt;&lt;FQL&gt;&lt;Q&gt;DOV^JULIAN(FF_EPS(QTR_R,0).DATES)&lt;/Q&gt;&lt;R&gt;1&lt;/R&gt;&lt;C&gt;1&lt;/C&gt;&lt;D xsi:type="xsd:long"&gt;46022&lt;/D&gt;&lt;/FQL&gt;&lt;FQL&gt;&lt;Q&gt;DHI^FF_EPS(QTR_R,0)&lt;/Q&gt;&lt;R&gt;1&lt;/R&gt;&lt;C&gt;1&lt;/C&gt;&lt;D xsi:type="xsd:double"&gt;2.028&lt;/D&gt;&lt;/FQL&gt;&lt;FQL&gt;&lt;Q&gt;CTLT^FF_EPS(QTR_R,0)&lt;/Q&gt;&lt;R&gt;1&lt;/R&gt;&lt;C&gt;1&lt;/C&gt;&lt;D xsi:type="xsd:double"&gt;-0.7088&lt;/D&gt;&lt;/FQL&gt;&lt;FQL&gt;&lt;Q&gt;CPAY^FE_ESTIMATE(EPS,MEAN,QTR_ROLL,-0,0,,,'')&lt;/Q&gt;&lt;R&gt;1&lt;/R&gt;&lt;C&gt;1&lt;/C&gt;&lt;D xsi:type="xsd:double"&gt;6.04&lt;/D&gt;&lt;/FQL&gt;&lt;FQL&gt;&lt;Q&gt;COP^FF_EPS(QTR_R,0)&lt;/Q&gt;&lt;R&gt;1&lt;/R&gt;&lt;C&gt;1&lt;/C&gt;&lt;D xsi:type="xsd:double"&gt;1.1646&lt;/D&gt;&lt;/FQL&gt;&lt;FQL&gt;&lt;Q&gt;CMA^JULIAN(FF_EPS(QTR_R,0).DATES)&lt;/Q&gt;&lt;R&gt;1&lt;/R&gt;&lt;C&gt;1&lt;/C&gt;&lt;D xsi:type="xsd:long"&gt;46022&lt;/D&gt;&lt;/FQL&gt;&lt;FQL&gt;&lt;Q&gt;CI^FE_ESTIMATE(EPS,MEAN,QTR_ROLL,-0,0,,,'')&lt;/Q&gt;&lt;R&gt;1&lt;/R&gt;&lt;C&gt;1&lt;/C&gt;&lt;D xsi:type="xsd:double"&gt;8.08&lt;/D&gt;&lt;/FQL&gt;&lt;FQL&gt;&lt;Q&gt;CHD^FF_EPS(QTR_R,0)&lt;/Q&gt;&lt;R&gt;1&lt;/R&gt;&lt;C&gt;1&lt;/C&gt;&lt;D xsi:type="xsd:double"&gt;0.5989&lt;/D&gt;&lt;/FQL&gt;&lt;FQL&gt;&lt;Q&gt;CDNS^JULIAN(FF_EPS(QTR_R,0).DATES)&lt;/Q&gt;&lt;R&gt;1&lt;/R&gt;&lt;C&gt;1&lt;/C&gt;&lt;D xsi:type="xsd:long"&gt;46022&lt;/D&gt;&lt;/FQL&gt;&lt;FQL&gt;&lt;Q&gt;CAT^FE_ESTIMATE(EPS,MEAN,QTR_ROLL,-0,0,,,'')&lt;/Q&gt;&lt;R&gt;1&lt;/R&gt;&lt;C&gt;1&lt;/C&gt;&lt;D xsi:type="xsd:double"&gt;5.16&lt;/D&gt;&lt;/FQL&gt;&lt;FQL&gt;&lt;Q&gt;CAG^FF_EPS(QTR_R,0)&lt;/Q&gt;&lt;R&gt;1&lt;/R&gt;&lt;C&gt;1&lt;/C&gt;&lt;D xsi:type="xsd:double"&gt;-1.3854&lt;/D&gt;&lt;/FQL&gt;&lt;FQL&gt;&lt;Q&gt;BX^JULIAN(FF_EPS(QTR_R,0).DATES)&lt;/Q&gt;&lt;R&gt;1&lt;/R&gt;&lt;C&gt;1&lt;/C&gt;&lt;D xsi:type="xsd:long"&gt;46022&lt;/D&gt;&lt;/FQL&gt;&lt;FQL&gt;&lt;Q&gt;BLK^FE_ESTIMATE(EPS,MEAN,QTR_ROLL,-0,0,,,'')&lt;/Q&gt;&lt;R&gt;1&lt;/R&gt;&lt;C&gt;1&lt;/C&gt;&lt;D xsi:type="xsd:double"&gt;13.16&lt;/D&gt;&lt;/FQL&gt;&lt;FQL&gt;&lt;Q&gt;BAX^FE_ESTIMATE(EPS,MEAN,QTR_ROLL,-0,0,,,'')&lt;/Q&gt;&lt;R&gt;1&lt;/R&gt;&lt;C&gt;1&lt;/C&gt;&lt;D xsi:type="xsd:double"&gt;0.36&lt;/D&gt;&lt;/FQL&gt;&lt;FQL&gt;&lt;Q&gt;AZO^FF_EPS(QTR_R,0)&lt;/Q&gt;&lt;R&gt;1&lt;/R&gt;&lt;C&gt;1&lt;/C&gt;&lt;D xsi:type="xsd:double"&gt;27.6304&lt;/D&gt;&lt;/FQL&gt;&lt;FQL&gt;&lt;Q&gt;AVY^JULIAN(FF_EPS(QTR_R,0).DATES)&lt;/Q&gt;&lt;R&gt;1&lt;/R&gt;&lt;C&gt;1&lt;/C&gt;&lt;D xsi:type="xsd:long"&gt;46022&lt;/D&gt;&lt;/FQL&gt;&lt;FQL&gt;&lt;Q&gt;APH^FE_ESTIMATE(EPS,MEAN,QTR_ROLL,-0,0,,,'')&lt;/Q&gt;&lt;R&gt;1&lt;/R&gt;&lt;C&gt;1&lt;/C&gt;&lt;D xsi:type="xsd:double"&gt;0.97&lt;/D&gt;&lt;/FQL&gt;&lt;FQL&gt;&lt;Q&gt;ANET^FF_EPS(QTR_R,0)&lt;/Q&gt;&lt;R&gt;1&lt;/R&gt;&lt;C&gt;1&lt;/C&gt;&lt;D xsi:type="xsd:double"&gt;0.75&lt;/D&gt;&lt;/FQL&gt;&lt;FQL&gt;&lt;Q&gt;AMP^JULIAN(FF_EPS(QTR_R,0).DATES)&lt;/Q&gt;&lt;R&gt;1&lt;/R&gt;&lt;C&gt;1&lt;/C&gt;&lt;D xsi:type="xsd:long"&gt;46022&lt;/D&gt;&lt;/FQL&gt;&lt;FQL&gt;&lt;Q&gt;AKAM^FF_EPS(QTR_R,0)&lt;/Q&gt;&lt;R&gt;1&lt;/R&gt;&lt;C&gt;1&lt;/C&gt;&lt;D xsi:type="xsd:double"&gt;0.5788&lt;/D&gt;&lt;/FQL&gt;&lt;FQL&gt;&lt;Q&gt;ADM^FE_ESTIMATE(EPS,MEAN,QTR_ROLL,-0,0,,,'')&lt;/Q&gt;&lt;R&gt;1&lt;/R&gt;&lt;C&gt;1&lt;/C&gt;&lt;D xsi:type="xsd:double"&gt;0.87&lt;/D&gt;&lt;/FQL&gt;&lt;FQL&gt;&lt;Q&gt;ACN^FF_EPS(QTR_R,0)&lt;/Q&gt;&lt;R&gt;1&lt;/R&gt;&lt;C&gt;1&lt;/C&gt;&lt;D xsi:type="xsd:double"&gt;2.9342&lt;/D&gt;&lt;/FQL&gt;&lt;FQL&gt;&lt;Q&gt;ZTS^FG_COMPANY_NAME&lt;/Q&gt;&lt;R&gt;1&lt;/R&gt;&lt;C&gt;1&lt;/C&gt;&lt;D xsi:type="xsd:string"&gt;Zoetis, Inc. Class A&lt;/D&gt;&lt;/FQL&gt;&lt;FQL&gt;&lt;Q&gt;WDC^FG_COMPANY_NAME&lt;/Q&gt;&lt;R&gt;1&lt;/R&gt;&lt;C&gt;1&lt;/C&gt;&lt;D xsi:type="xsd:string"&gt;Western Digital Corporation&lt;/D&gt;&lt;/FQL&gt;&lt;FQL&gt;&lt;Q&gt;UPS^FG_COMPANY_NAME&lt;/Q&gt;&lt;R&gt;1&lt;/R&gt;&lt;C&gt;1&lt;/C&gt;&lt;D xsi:type="xsd:string"&gt;United Parcel Service, Inc. Class B&lt;/D&gt;&lt;/FQL&gt;&lt;FQL&gt;&lt;Q&gt;TXN^FG_COMPANY_NAME&lt;/Q&gt;&lt;R&gt;1&lt;/R&gt;&lt;C&gt;1&lt;/C&gt;&lt;D xsi:type="xsd:string"&gt;Texas Instruments Incorporated&lt;/D&gt;&lt;/FQL&gt;&lt;FQL&gt;&lt;Q&gt;STZ^FG_COMPANY_NAME&lt;/Q&gt;&lt;R&gt;1&lt;/R&gt;&lt;C&gt;1&lt;/C&gt;&lt;D xsi:type="xsd:string"&gt;Constellation Brands, Inc. Class A&lt;/D&gt;&lt;/FQL&gt;&lt;FQL&gt;&lt;Q&gt;PODD^FG_COMPANY_NAME&lt;/Q&gt;&lt;R&gt;1&lt;/R&gt;&lt;C&gt;1&lt;/C&gt;&lt;D xsi:type="xsd:string"&gt;Insulet Corporation&lt;/D&gt;&lt;/FQL&gt;&lt;FQL&gt;&lt;Q&gt;MCD^FG_COMPANY_NAME&lt;/Q&gt;&lt;R&gt;1&lt;/R&gt;&lt;C&gt;1&lt;/C&gt;&lt;D xsi:type="xsd:string"&gt;McDonald's Corporation&lt;/D&gt;&lt;/FQL&gt;&lt;FQL&gt;&lt;Q&gt;LUV^FG_COMPANY_NAME&lt;/Q&gt;&lt;R&gt;1&lt;/R&gt;&lt;C&gt;1&lt;/C&gt;&lt;D xsi:type="xsd:string"&gt;Southwest Airlines Co.&lt;/D&gt;&lt;/FQL&gt;&lt;FQL&gt;&lt;Q&gt;LHX^FG_COMPANY_NAME&lt;/Q&gt;&lt;R&gt;1&lt;/R&gt;&lt;C&gt;1&lt;/C&gt;&lt;D xsi:type="xsd:string"&gt;L3Harris Technologies Inc&lt;/D&gt;&lt;/FQL&gt;&lt;FQL&gt;&lt;Q&gt;KMI^FG_COMPANY_NAME&lt;/Q&gt;&lt;R&gt;1&lt;/R&gt;&lt;C&gt;1&lt;/C&gt;&lt;D xsi:type="xsd:string"&gt;Kinder Morgan Inc Class P&lt;/D&gt;&lt;/FQL&gt;&lt;FQL&gt;&lt;Q&gt;JPM^FG_COMPANY_NAME&lt;/Q&gt;&lt;R&gt;1&lt;/R&gt;&lt;C&gt;1&lt;/C&gt;&lt;D xsi:type="xsd:string"&gt;JPMorgan Chase &amp;amp; Co.&lt;/D&gt;&lt;/FQL&gt;&lt;FQL&gt;&lt;Q&gt;ITW^FG_COMPANY_NAME&lt;/Q&gt;&lt;R&gt;1&lt;/R&gt;&lt;C&gt;1&lt;/C&gt;&lt;D xsi:type="xsd:string"&gt;Illinois Tool Works Inc.&lt;/D&gt;&lt;/FQL&gt;&lt;FQL&gt;&lt;Q&gt;HUM^FG_COMPANY_NAME&lt;/Q&gt;&lt;R&gt;1&lt;/R&gt;&lt;C&gt;1&lt;/C&gt;&lt;D xsi:type="xsd:string"&gt;Humana Inc.&lt;/D&gt;&lt;/FQL&gt;&lt;FQL&gt;&lt;Q&gt;HOLX^FG_COMPANY_NAME&lt;/Q&gt;&lt;R&gt;1&lt;/R&gt;&lt;C&gt;1&lt;/C&gt;&lt;D xsi:type="xsd:string"&gt;Hologic, Inc.&lt;/D&gt;&lt;/FQL&gt;&lt;FQL&gt;&lt;Q&gt;GPN^FG_COMPANY_NAME&lt;/Q&gt;&lt;R&gt;1&lt;/R&gt;&lt;C&gt;1&lt;/C&gt;&lt;D xsi:type="xsd:string"&gt;Global Payments Inc.&lt;/D&gt;&lt;/FQL&gt;&lt;FQL&gt;&lt;Q&gt;GILD^FG_COMPANY_NAME&lt;/Q&gt;&lt;R&gt;1&lt;/R&gt;&lt;C&gt;1&lt;/C&gt;&lt;D xsi:type="xsd:string"&gt;Gilead Sciences, Inc.&lt;/D&gt;&lt;/FQL&gt;&lt;FQL&gt;&lt;Q&gt;FSLR^FG_COMPANY_NAME&lt;/Q&gt;&lt;R&gt;1&lt;/R&gt;&lt;C&gt;1&lt;/C&gt;&lt;D xsi:type="xsd:string"&gt;First Solar, Inc.&lt;/D&gt;&lt;/FQL&gt;&lt;FQL&gt;&lt;Q&gt;FI^FG_COMPANY_NAME&lt;/Q&gt;&lt;R&gt;1&lt;/R&gt;&lt;C&gt;1&lt;/C&gt;&lt;D xsi:type="xsd:string"&gt;Fiserv, Inc.&lt;/D&gt;&lt;/FQL&gt;&lt;FQL&gt;&lt;Q&gt;F^FG_COMPANY_NAME&lt;/Q&gt;&lt;R&gt;1&lt;/R&gt;&lt;C&gt;1&lt;/C&gt;&lt;D xsi:type="xsd:string"&gt;Ford Motor Company&lt;/D&gt;&lt;/FQL&gt;&lt;FQL&gt;&lt;Q&gt;CAH^FG_COMPANY_NAME&lt;/Q&gt;&lt;R&gt;1&lt;/R&gt;&lt;C&gt;1&lt;/C&gt;&lt;D xsi:type="xsd:string"&gt;Cardinal Health, Inc.&lt;/D&gt;&lt;/FQL&gt;&lt;FQL&gt;&lt;Q&gt;BIIB^FG_COMPANY_NAME&lt;/Q&gt;&lt;R&gt;1&lt;/R&gt;&lt;C&gt;1&lt;/C&gt;&lt;D xsi:type="xsd:string"&gt;Biogen Inc.&lt;/D&gt;&lt;/FQL&gt;&lt;FQL&gt;&lt;Q&gt;ATO^FG_COMPANY_NAME&lt;/Q&gt;&lt;R&gt;1&lt;/R&gt;&lt;C&gt;1&lt;/C&gt;&lt;D xsi:type="xsd:string"&gt;Atmos Energy Corporation&lt;/D&gt;&lt;/FQL&gt;&lt;FQL&gt;&lt;Q&gt;AMAT^FG_COMPANY_NAME&lt;/Q&gt;&lt;R&gt;1&lt;/R&gt;&lt;C&gt;1&lt;/C&gt;&lt;D xsi:type="xsd:string"&gt;Applied Materials, Inc.&lt;/D&gt;&lt;/FQL&gt;&lt;FQL&gt;&lt;Q&gt;ADBE^FG_COMPANY_NAME&lt;/Q&gt;&lt;R&gt;1&lt;/R&gt;&lt;C&gt;1&lt;/C&gt;&lt;D xsi:type="xsd:string"&gt;Adobe Inc.&lt;/D&gt;&lt;/FQL&gt;&lt;FQL&gt;&lt;Q&gt;ZBRA^FE_ESTIMATE(EPS,MEAN,QTR_ROLL,-0,0,,,'')&lt;/Q&gt;&lt;R&gt;1&lt;/R&gt;&lt;C&gt;1&lt;/C&gt;&lt;D xsi:type="xsd:double"&gt;4.33&lt;/D&gt;&lt;/FQL&gt;&lt;FQL&gt;&lt;Q&gt;WY^JULIAN(FF_EPS(QTR_R,0).DATES)&lt;/Q&gt;&lt;R&gt;1&lt;/R&gt;&lt;C&gt;1&lt;/C&gt;&lt;D xsi:type="xsd:long"&gt;46022&lt;/D&gt;&lt;/FQL&gt;&lt;FQL&gt;&lt;Q&gt;TTWO^JULIAN(FF_EPS(QTR_R,0).DATES)&lt;/Q&gt;&lt;R&gt;1&lt;/R&gt;&lt;C&gt;1&lt;/C&gt;&lt;D xsi:type="xsd:long"&gt;46022&lt;/D&gt;&lt;/FQL&gt;&lt;FQL&gt;&lt;Q&gt;TRMB^JULIAN(FF_EPS(QTR_R,0).DATES)&lt;/Q&gt;&lt;R&gt;1&lt;/R&gt;&lt;C&gt;1&lt;/C&gt;&lt;D xsi:type="xsd:long"&gt;46022&lt;/D&gt;&lt;/FQL&gt;&lt;FQL&gt;&lt;Q&gt;TFC^FF_EPS(QTR_R,0)&lt;/Q&gt;&lt;R&gt;1&lt;/R&gt;&lt;C&gt;1&lt;/C&gt;&lt;D xsi:type="xsd:double"&gt;1.003&lt;/D&gt;&lt;/FQL&gt;&lt;FQL&gt;&lt;Q&gt;T^JULIAN(FF_EPS(QTR_R,0).DATES)&lt;/Q&gt;&lt;R&gt;1&lt;/R&gt;&lt;C&gt;1&lt;/C&gt;&lt;D xsi:type="xsd:long"&gt;46022&lt;/D&gt;&lt;/FQL&gt;&lt;FQL&gt;&lt;Q&gt;STX^FE_ESTIMATE(EPS,MEAN,QTR_ROLL,-0,0,,,'')&lt;/Q&gt;&lt;R&gt;1&lt;/R&gt;&lt;C&gt;1&lt;/C&gt;&lt;D xsi:type="xsd:double"&gt;3.11&lt;/D&gt;&lt;/FQL&gt;&lt;FQL&gt;&lt;Q&gt;SPG^FF_EPS(QTR_R,0)&lt;/Q&gt;&lt;R&gt;1&lt;/R&gt;&lt;C&gt;1&lt;/C&gt;&lt;D xsi:type="xsd:double"&gt;0.5601&lt;/D&gt;&lt;/FQL&gt;&lt;FQL&gt;&lt;Q&gt;SJM^FF_EPS(QTR_R,0)&lt;/Q&gt;&lt;R&gt;1&lt;/R&gt;&lt;C&gt;1&lt;/C&gt;&lt;D xsi:type="xsd:double"&gt;-6.7872&lt;/D&gt;&lt;/FQL&gt;&lt;FQL&gt;&lt;Q&gt;RL^FE_ESTIMATE(EPS,MEAN,QTR_ROLL,-0,0,,,'')&lt;/Q&gt;&lt;R&gt;1&lt;/R&gt;&lt;C&gt;1&lt;/C&gt;&lt;D xsi:type="xsd:double"&gt;6.22&lt;/D&gt;&lt;/FQL&gt;&lt;FQL&gt;&lt;Q&gt;RCL^FE_ESTIMATE(EPS,MEAN,QTR_ROLL,-0,0,,,'')&lt;/Q&gt;&lt;R&gt;1&lt;/R&gt;&lt;C&gt;1&lt;/C&gt;&lt;D xsi:type="xsd:double"&gt;2.8&lt;/D&gt;&lt;/FQL&gt;&lt;FQL&gt;&lt;Q&gt;PPG^JULIAN(FF_EPS(QTR_R,0).DATES)&lt;/Q&gt;&lt;R&gt;1&lt;/R&gt;&lt;C&gt;1&lt;/C&gt;&lt;D xsi:type="xsd:long"&gt;46022&lt;/D&gt;&lt;/FQL&gt;&lt;FQL&gt;&lt;Q&gt;PEAK^FF_EPS(QTR_R,0)&lt;/Q&gt;&lt;R&gt;1&lt;/R&gt;&lt;C&gt;1&lt;/C&gt;&lt;D xsi:type="xsd:double"&gt;0.1638&lt;/D&gt;&lt;/FQL&gt;&lt;FQL&gt;&lt;Q&gt;PARA^JULIAN(FF_EPS(QTR_R,0).DATES)&lt;/Q&gt;&lt;R&gt;1&lt;/R&gt;&lt;C&gt;1&lt;/C&gt;&lt;D xsi:type="xsd:long"&gt;46022&lt;/D&gt;&lt;/FQL&gt;&lt;FQL&gt;&lt;Q&gt;NWS^FE_ESTIMATE(EPS,MEAN,QTR_ROLL,-0,0,,,'')&lt;/Q&gt;&lt;R&gt;1&lt;/R&gt;&lt;C&gt;1&lt;/C&gt;&lt;D xsi:type="xsd:double"&gt;0.4&lt;/D&gt;&lt;/FQL&gt;&lt;FQL&gt;&lt;Q&gt;NTAP^FF_EPS(QTR_R,0)&lt;/Q&gt;&lt;R&gt;1&lt;/R&gt;&lt;C&gt;1&lt;/C&gt;&lt;D xsi:type="xsd:double"&gt;1.67&lt;/D&gt;&lt;/FQL&gt;&lt;FQL&gt;&lt;Q&gt;NI^JULIAN(FF_EPS(QTR_R,0).DATES)&lt;/Q&gt;&lt;R&gt;1&lt;/R&gt;&lt;C&gt;1&lt;/C&gt;&lt;D xsi:type="xsd:long"&gt;46022&lt;/D&gt;&lt;/FQL&gt;&lt;FQL&gt;&lt;Q&gt;MSI^JULIAN(FF_EPS(QTR_R,0).DATES)&lt;/Q&gt;&lt;R&gt;1&lt;/R&gt;&lt;C&gt;1&lt;/C&gt;&lt;D xsi:type="xsd:long"&gt;46022&lt;/D&gt;&lt;/FQL&gt;&lt;FQL&gt;&lt;Q&gt;MRK^FE_ESTIMATE(EPS,MEAN,QTR_ROLL,-0,0,,,'')&lt;/Q&gt;&lt;R&gt;1&lt;/R&gt;&lt;C&gt;1&lt;/C&gt;&lt;D xsi:type="xsd:double"&gt;2.04&lt;/D&gt;&lt;/FQL&gt;&lt;FQL&gt;&lt;Q&gt;MKTX^JULIAN(FF_EPS(QTR_R,0).DATES)&lt;/Q&gt;&lt;R&gt;1&lt;/R&gt;&lt;C&gt;1&lt;/C&gt;&lt;D xsi:type="xsd:long"&gt;46022&lt;/D&gt;&lt;/FQL&gt;&lt;FQL&gt;&lt;Q&gt;MCD^FF_EPS(QTR_R,0)&lt;/Q&gt;&lt;R&gt;1&lt;/R&gt;&lt;C&gt;1&lt;/C&gt;&lt;D xsi:type="xsd:double"&gt;3.03&lt;/D&gt;&lt;/FQL&gt;&lt;FQL&gt;&lt;Q&gt;LLY^JULIAN(FF_EPS(QTR_R,0).DATES)&lt;/Q&gt;&lt;R&gt;1&lt;/R&gt;&lt;C&gt;1&lt;/C&gt;&lt;D xsi:type="xsd:long"&gt;46022&lt;/D&gt;&lt;/FQL&gt;&lt;FQL&gt;&lt;Q&gt;K^JULIAN(FF_EPS(QTR_R,0).DATES)&lt;/Q&gt;&lt;R&gt;1&lt;/R&gt;&lt;C&gt;1&lt;/C&gt;&lt;D xsi:type="xsd:long"&gt;45930&lt;/D&gt;&lt;/FQL&gt;&lt;FQL&gt;&lt;Q&gt;IVZ^JULIAN(FF_EPS(QTR_R,0).DATES)&lt;/Q&gt;&lt;R&gt;1&lt;/R&gt;&lt;C&gt;1&lt;/C&gt;&lt;D xsi:type="xsd:long"&gt;46022&lt;/D&gt;&lt;/FQL&gt;&lt;FQL&gt;&lt;Q&gt;IR^JULIAN(FF_EPS(QTR_R,0).DATES)&lt;/Q&gt;&lt;R&gt;1&lt;/R&gt;&lt;C&gt;1&lt;/C&gt;&lt;D xsi:type="xsd:long"&gt;46022&lt;/D&gt;&lt;/FQL&gt;&lt;FQL&gt;&lt;Q&gt;HSIC^FE_ESTIMATE(EPS,MEAN,QTR_ROLL,-0,0,,,'')&lt;/Q&gt;&lt;R&gt;1&lt;/R&gt;&lt;C&gt;1&lt;/C&gt;&lt;D xsi:type="xsd:double"&gt;1.34&lt;/D&gt;&lt;/FQL&gt;&lt;FQL&gt;&lt;Q&gt;GILD^FE_ESTIMATE(EPS,MEAN,QTR_ROLL,-0,0,,,'')&lt;/Q&gt;&lt;R&gt;1&lt;/R&gt;&lt;C&gt;1&lt;/C&gt;&lt;D xsi:type="xsd:double"&gt;1.86&lt;/D&gt;&lt;/FQL&gt;&lt;FQL&gt;&lt;Q&gt;FOX^JULIAN(FF_EPS(QTR_R,0).DATES)&lt;/Q&gt;&lt;R&gt;1&lt;/R&gt;&lt;C&gt;1&lt;/C&gt;&lt;D xsi:type="xsd:long"&gt;46022&lt;/D&gt;&lt;/FQL&gt;&lt;FQL&gt;&lt;Q&gt;FDX^FF_EPS(QTR_R,0)&lt;/Q&gt;&lt;R&gt;1&lt;/R&gt;&lt;C&gt;1&lt;/C&gt;&lt;D xsi:type="xsd:double"&gt;4.41&lt;/D&gt;&lt;/FQL&gt;&lt;FQL&gt;&lt;Q&gt;EQT^FE_ESTIMATE(EPS,MEAN,QTR_ROLL,-0,0,,,'')&lt;/Q&gt;&lt;R&gt;1&lt;/R&gt;&lt;C&gt;1&lt;/C&gt;&lt;D xsi:type="xsd:double"&gt;0.9&lt;/D&gt;&lt;/FQL&gt;&lt;FQL&gt;&lt;Q&gt;EL^FE_ESTIMATE(EPS,MEAN,QTR_ROLL,-0,0,,,'')&lt;/Q&gt;&lt;R&gt;1&lt;/R&gt;&lt;C&gt;1&lt;/C&gt;&lt;D xsi:type="xsd:double"&gt;0.87&lt;/D&gt;&lt;/FQL&gt;&lt;FQL&gt;&lt;Q&gt;DRI^FE_ESTIMATE(EPS,MEAN,QTR_ROLL,-0,0,,,'')&lt;/Q&gt;&lt;R&gt;1&lt;/R&gt;&lt;C&gt;1&lt;/C&gt;&lt;D xsi:type="xsd:double"&gt;2.95&lt;/D&gt;&lt;/FQL&gt;&lt;FQL&gt;&lt;Q&gt;DE^FE_ESTIMATE(EPS,MEAN,QTR_ROLL,-0,0,,,'')&lt;/Q&gt;&lt;R&gt;1&lt;/R&gt;&lt;C&gt;1&lt;/C&gt;&lt;D xsi:type="xsd:double"&gt;2.42&lt;/D&gt;&lt;/FQL&gt;&lt;FQL&gt;&lt;Q&gt;CVS^JULIAN(FF_EPS(QTR_R,0).DATES)&lt;/Q&gt;&lt;R&gt;1&lt;/R&gt;&lt;C&gt;1&lt;/C&gt;&lt;D xsi:type="xsd:long"&gt;46022&lt;/D&gt;&lt;/FQL&gt;&lt;FQL&gt;&lt;Q&gt;COP^JULIAN(FF_EPS(QTR_R,0).DATES)&lt;/Q&gt;&lt;R&gt;1&lt;/R&gt;&lt;C&gt;1&lt;/C&gt;&lt;D xsi:type="xsd:long"&gt;46022&lt;/D&gt;&lt;/FQL&gt;&lt;FQL&gt;&lt;Q&gt;CNC^FF_EPS(QTR_R,0)&lt;/Q&gt;&lt;R&gt;1&lt;/R&gt;&lt;C&gt;1&lt;/C&gt;&lt;D xsi:type="xsd:double"&gt;-2.2399&lt;/D&gt;&lt;/FQL&gt;&lt;FQL&gt;&lt;Q&gt;CLX^FE_ESTIMATE(EPS,MEAN,QTR_ROLL,-0,0,,,'')&lt;/Q&gt;&lt;R&gt;1&lt;/R&gt;&lt;C&gt;1&lt;/C&gt;&lt;D xsi:type="xsd:double"&gt;1.39&lt;/D&gt;&lt;/FQL&gt;&lt;FQL&gt;&lt;Q&gt;CEG^JULIAN(FF_EPS(QTR_R,0).DATES)&lt;/Q&gt;&lt;R&gt;1&lt;/R&gt;&lt;C&gt;1&lt;/C&gt;&lt;D xsi:type="xsd:long"&gt;46022&lt;/D&gt;&lt;/FQL&gt;&lt;FQL&gt;&lt;Q&gt;BKNG^FF_EPS(QTR_R,0)&lt;/Q&gt;&lt;R&gt;1&lt;/R&gt;&lt;C&gt;1&lt;/C&gt;&lt;D xsi:type="xsd:double"&gt;44.2201&lt;/D&gt;&lt;/FQL&gt;&lt;FQL&gt;&lt;Q&gt;BDX^FE_ESTIMATE(EPS,MEAN,QTR_ROLL,-0,0,,,'')&lt;/Q&gt;&lt;R&gt;1&lt;/R&gt;&lt;C&gt;1&lt;/C&gt;&lt;D xsi:type="xsd:double"&gt;2.2868385&lt;/D&gt;&lt;/FQL&gt;&lt;FQL&gt;&lt;Q&gt;AIG^JULIAN(FF_EPS(QTR_R,0).DATES)&lt;/Q&gt;&lt;R&gt;1&lt;/R&gt;&lt;C&gt;1&lt;/C&gt;&lt;D xsi:type="xsd:long"&gt;46022&lt;/D&gt;&lt;/FQL&gt;&lt;FQL&gt;&lt;Q&gt;ADM^FF_EPS(QTR_R,0)&lt;/Q&gt;&lt;R&gt;1&lt;/R&gt;&lt;C&gt;1&lt;/C&gt;&lt;D xsi:type="xsd:double"&gt;0.9422&lt;/D&gt;&lt;/FQL&gt;&lt;FQL&gt;&lt;Q&gt;VRSN^FG_COMPANY_NAME&lt;/Q&gt;&lt;R&gt;1&lt;/R&gt;&lt;C&gt;1&lt;/C&gt;&lt;D xsi:type="xsd:string"&gt;VeriSign, Inc.&lt;/D&gt;&lt;/FQL&gt;&lt;FQL&gt;&lt;Q&gt;TDY^FG_COMPANY_NAME&lt;/Q&gt;&lt;R&gt;1&lt;/R&gt;&lt;C&gt;1&lt;/C&gt;&lt;D xsi:type="xsd:string"&gt;Teledyne Technologies Incorporated&lt;/D&gt;&lt;/FQL&gt;&lt;FQL&gt;&lt;Q&gt;SNA^FG_COMPANY_NAME&lt;/Q&gt;&lt;R&gt;1&lt;/R&gt;&lt;C&gt;1&lt;/C&gt;&lt;D xsi:type="xsd:string"&gt;Snap-on Incorporated&lt;/D&gt;&lt;/FQL&gt;&lt;FQL&gt;&lt;Q&gt;RTX^FG_COMPANY_NAME&lt;/Q&gt;&lt;R&gt;1&lt;/R&gt;&lt;C&gt;1&lt;/C&gt;&lt;D xsi:type="xsd:string"&gt;RTX Corporation&lt;/D&gt;&lt;/FQL&gt;&lt;FQL&gt;&lt;Q&gt;RF^FG_COMPANY_NAME&lt;/Q&gt;&lt;R&gt;1&lt;/R&gt;&lt;C&gt;1&lt;/C&gt;&lt;D xsi:type="xsd:string"&gt;Regions Financial Corporation&lt;/D&gt;&lt;/FQL&gt;&lt;FQL&gt;&lt;Q&gt;PGR^FG_COMPANY_NAME&lt;/Q&gt;&lt;R&gt;1&lt;/R&gt;&lt;C&gt;1&lt;/C&gt;&lt;D xsi:type="xsd:string"&gt;Progressive Corporation&lt;/D&gt;&lt;/FQL&gt;&lt;FQL&gt;&lt;Q&gt;PAYX^FG_COMPANY_NAME&lt;/Q&gt;&lt;R&gt;1&lt;/R&gt;&lt;C&gt;1&lt;/C&gt;&lt;D xsi:type="xsd:string"&gt;Paychex, Inc.&lt;/D&gt;&lt;/FQL&gt;&lt;FQL&gt;&lt;Q&gt;NTRS^FG_COMPANY_NAME&lt;/Q&gt;&lt;R&gt;1&lt;/R&gt;&lt;C&gt;1&lt;/C&gt;&lt;D xsi:type="xsd:string"&gt;Northern Trust Corporation&lt;/D&gt;&lt;/FQL&gt;&lt;FQL&gt;&lt;Q&gt;NEM^FG_COMPANY_NAME&lt;/Q&gt;&lt;R&gt;1&lt;/R&gt;&lt;C&gt;1&lt;/C&gt;&lt;D xsi:type="xsd:string"&gt;Newmont Corporation&lt;/D&gt;&lt;/FQL&gt;&lt;FQL&gt;&lt;Q&gt;MSI^FG_COMPANY_NAME&lt;/Q&gt;&lt;R&gt;1&lt;/R&gt;&lt;C&gt;1&lt;/C&gt;&lt;D xsi:type="xsd:string"&gt;Motorola Solutions, Inc.&lt;/D&gt;&lt;/FQL&gt;&lt;FQL&gt;&lt;Q&gt;ES^FG_COMPANY_NAME&lt;/Q&gt;&lt;R&gt;1&lt;/R&gt;&lt;C&gt;1&lt;/C&gt;&lt;D xsi:type="xsd:string"&gt;Eversource Energy&lt;/D&gt;&lt;/FQL&gt;&lt;FQL&gt;&lt;Q&gt;DVA^FG_COMPANY_NAME&lt;/Q&gt;&lt;R&gt;1&lt;/R&gt;&lt;C&gt;1&lt;/C&gt;&lt;D xsi:type="xsd:string"&gt;DaVita Inc.&lt;/D&gt;&lt;/FQL&gt;&lt;FQL&gt;&lt;Q&gt;CMI^FG_COMPANY_NAME&lt;/Q&gt;&lt;R&gt;1&lt;/R&gt;&lt;C&gt;1&lt;/C&gt;&lt;D xsi:type="xsd:string"&gt;Cummins Inc.&lt;/D&gt;&lt;/FQL&gt;&lt;FQL&gt;&lt;Q&gt;CHTR^FG_COMPANY_NAME&lt;/Q&gt;&lt;R&gt;1&lt;/R&gt;&lt;C&gt;1&lt;/C&gt;&lt;D xsi:type="xsd:string"&gt;Charter Communications, Inc. Class A&lt;/D&gt;&lt;/FQL&gt;&lt;FQL&gt;&lt;Q&gt;DAY^FG_COMPANY_NAME&lt;/Q&gt;&lt;R&gt;1&lt;/R&gt;&lt;C&gt;1&lt;/C&gt;&lt;D xsi:type="xsd:string"&gt;Dayforce, Inc.&lt;/D&gt;&lt;/FQL&gt;&lt;FQL&gt;&lt;Q&gt;BR^FG_COMPANY_NAME&lt;/Q&gt;&lt;R&gt;1&lt;/R&gt;&lt;C&gt;1&lt;/C&gt;&lt;D xsi:type="xsd:string"&gt;Broadridge Financial Solutions, Inc.&lt;/D&gt;&lt;/FQL&gt;&lt;FQL&gt;&lt;Q&gt;BA^FG_COMPANY_NAME&lt;/Q&gt;&lt;R&gt;1&lt;/R&gt;&lt;C&gt;1&lt;/C&gt;&lt;D xsi:type="xsd:string"&gt;Boeing Company&lt;/D&gt;&lt;/FQL&gt;&lt;FQL&gt;&lt;Q&gt;ANET^FG_COMPANY_NAME&lt;/Q&gt;&lt;R&gt;1&lt;/R&gt;&lt;C&gt;1&lt;/C&gt;&lt;D xsi:type="xsd:string"&gt;Arista Networks, Inc.&lt;/D&gt;&lt;/FQL&gt;&lt;FQL&gt;&lt;Q&gt;AFL^FG_COMPANY_NAME&lt;/Q&gt;&lt;R&gt;1&lt;/R&gt;&lt;C&gt;1&lt;/C&gt;&lt;D xsi:type="xsd:string"&gt;Aflac Incorporated&lt;/D&gt;&lt;/FQL&gt;&lt;FQL&gt;&lt;Q&gt;PLTR^FE_ESTIMATE(EPS,MEAN,QTR_ROLL,-0,0,,,'')&lt;/Q&gt;&lt;R&gt;1&lt;/R&gt;&lt;C&gt;1&lt;/C&gt;&lt;D xsi:type="xsd:double"&gt;0.25&lt;/D&gt;&lt;/FQL&gt;&lt;FQL&gt;&lt;Q&gt;PEAK^JULIAN(FF_EPS(QTR_R,0).DATES)&lt;/Q&gt;&lt;R&gt;1&lt;/R&gt;&lt;C&gt;1&lt;/C&gt;&lt;D xsi:type="xsd:long"&gt;46022&lt;/D&gt;&lt;/FQL&gt;&lt;FQL&gt;&lt;Q&gt;NWS^FF_EPS(QTR_R,0)&lt;/Q&gt;&lt;R&gt;1&lt;/R&gt;&lt;C&gt;1&lt;/C&gt;&lt;D xsi:type="xsd:double"&gt;0.3434&lt;/D&gt;&lt;/FQL&gt;&lt;FQL&gt;&lt;Q&gt;NCLH^FF_EPS(QTR_R,0)&lt;/Q&gt;&lt;R&gt;1&lt;/R&gt;&lt;C&gt;1&lt;/C&gt;&lt;D xsi:type="xsd:double"&gt;0.031&lt;/D&gt;&lt;/FQL&gt;&lt;FQL&gt;&lt;Q&gt;MNST^FE_ESTIMATE(EPS,MEAN,QTR_ROLL,-0,0,,,'')&lt;/Q&gt;&lt;R&gt;1&lt;/R&gt;&lt;C&gt;1&lt;/C&gt;&lt;D xsi:type="xsd:double"&gt;0.51&lt;/D&gt;&lt;/FQL&gt;&lt;FQL&gt;&lt;Q&gt;LEN^JULIAN(FF_EPS(QTR_R,0).DATES)&lt;/Q&gt;&lt;R&gt;1&lt;/R&gt;&lt;C&gt;1&lt;/C&gt;&lt;D xsi:type="xsd:long"&gt;46080&lt;/D&gt;&lt;/FQL&gt;&lt;FQL&gt;&lt;Q&gt;HUM^FE_ESTIMATE(EPS,MEAN,QTR_ROLL,-0,0,,,'')&lt;/Q&gt;&lt;R&gt;1&lt;/R&gt;&lt;C&gt;1&lt;/C&gt;&lt;D xsi:type="xsd:double"&gt;-3.96&lt;/D&gt;&lt;/FQL&gt;&lt;FQL&gt;&lt;Q&gt;GILD^FF_EPS(QTR_R,0)&lt;/Q&gt;&lt;R&gt;1&lt;/R&gt;&lt;C&gt;1&lt;/C&gt;&lt;D xsi:type="xsd:double"&gt;1.7422&lt;/D&gt;&lt;/FQL&gt;&lt;FQL&gt;&lt;Q&gt;FDX^JULIAN(FF_EPS(QTR_R,0).DATES)&lt;/Q&gt;&lt;R&gt;1&lt;/R&gt;&lt;C&gt;1&lt;/C&gt;&lt;D xsi:type="xsd:long"&gt;46080&lt;/D&gt;&lt;/FQL&gt;&lt;FQL&gt;&lt;Q&gt;FAST^JULIAN(FF_EPS(QTR_R,0).DATES)&lt;/Q&gt;&lt;R&gt;1&lt;/R&gt;&lt;C&gt;1&lt;/C&gt;&lt;D xsi:type="xsd:long"&gt;46022&lt;/D&gt;&lt;/FQL&gt;&lt;FQL&gt;&lt;Q&gt;EXPD^FF_EPS(QTR_R,0)&lt;/Q&gt;&lt;R&gt;1&lt;/R&gt;&lt;C&gt;1&lt;/C&gt;&lt;D xsi:type="xsd:double"&gt;1.4908&lt;/D&gt;&lt;/FQL&gt;&lt;FQL&gt;&lt;Q&gt;EOG^FF_EPS(QTR_R,0)&lt;/Q&gt;&lt;R&gt;1&lt;/R&gt;&lt;C&gt;1&lt;/C&gt;&lt;D xsi:type="xsd:double"&gt;1.3006&lt;/D&gt;&lt;/FQL&gt;&lt;FQL&gt;&lt;Q&gt;EL^FF_EPS(QTR_R,0)&lt;/Q&gt;&lt;R&gt;1&lt;/R&gt;&lt;C&gt;1&lt;/C&gt;&lt;D xsi:type="xsd:double"&gt;0.4441&lt;/D&gt;&lt;/FQL&gt;&lt;FQL&gt;&lt;Q&gt;ECL^FE_ESTIMATE(EPS,MEAN,QTR_ROLL,-0,0,,,'')&lt;/Q&gt;&lt;R&gt;1&lt;/R&gt;&lt;C&gt;1&lt;/C&gt;&lt;D xsi:type="xsd:double"&gt;2.08&lt;/D&gt;&lt;/FQL&gt;&lt;FQL&gt;&lt;Q&gt;DGX^FF_EPS(QTR_R,0)&lt;/Q&gt;&lt;R&gt;1&lt;/R&gt;&lt;C&gt;1&lt;/C&gt;&lt;D xsi:type="xsd:double"&gt;2.1875&lt;/D&gt;&lt;/FQL&gt;&lt;FQL&gt;&lt;Q&gt;CTLT^JULIAN(FF_EPS(QTR_R,0).DATES)&lt;/Q&gt;&lt;R&gt;1&lt;/R&gt;&lt;C&gt;1&lt;/C&gt;&lt;D xsi:type="xsd:long"&gt;45565&lt;/D&gt;&lt;/FQL&gt;&lt;FQL&gt;&lt;Q&gt;CHD^JULIAN(FF_EPS(QTR_R,0).DATES)&lt;/Q&gt;&lt;R&gt;1&lt;/R&gt;&lt;C&gt;1&lt;/C&gt;&lt;D xsi:type="xsd:long"&gt;46022&lt;/D&gt;&lt;/FQL&gt;&lt;FQL&gt;&lt;Q&gt;BG^FE_ESTIMATE(EPS,MEAN,QTR_ROLL,-0,0,,,'')&lt;/Q&gt;&lt;R&gt;1&lt;/R&gt;&lt;C&gt;1&lt;/C&gt;&lt;D xsi:type="xsd:double"&gt;1.99&lt;/D&gt;&lt;/FQL&gt;&lt;FQL&gt;&lt;Q&gt;AZO^JULIAN(FF_EPS(QTR_R,0).DATES)&lt;/Q&gt;&lt;R&gt;1&lt;/R&gt;&lt;C&gt;1&lt;/C&gt;&lt;D xsi:type="xsd:long"&gt;46080&lt;/D&gt;&lt;/FQL&gt;&lt;FQL&gt;&lt;Q&gt;APH^FF_EPS(QTR_R,0)&lt;/Q&gt;&lt;R&gt;1&lt;/R&gt;&lt;C&gt;1&lt;/C&gt;&lt;D xsi:type="xsd:double"&gt;0.9277&lt;/D&gt;&lt;/FQL&gt;&lt;FQL&gt;&lt;Q&gt;ANET^JULIAN(FF_EPS(QTR_R,0).DATES)&lt;/Q&gt;&lt;R&gt;1&lt;/R&gt;&lt;C&gt;1&lt;/C&gt;&lt;D xsi:type="xsd:long"&gt;46022&lt;/D&gt;&lt;/FQL&gt;&lt;FQL&gt;&lt;Q&gt;AMCR^FF_EPS(QTR_R,0)&lt;/Q&gt;&lt;R&gt;1&lt;/R&gt;&lt;C&gt;1&lt;/C&gt;&lt;D xsi:type="xsd:double"&gt;0.3816&lt;/D&gt;&lt;/FQL&gt;&lt;FQL&gt;&lt;Q&gt;AEE^FF_EPS(QTR_R,0)&lt;/Q&gt;&lt;R&gt;1&lt;/R&gt;&lt;C&gt;1&lt;/C&gt;&lt;D xsi:type="xsd:double"&gt;0.9207&lt;/D&gt;&lt;/FQL&gt;&lt;FQL&gt;&lt;Q&gt;ACN^JULIAN(FF_EPS(QTR_R,0).DATES)&lt;/Q&gt;&lt;R&gt;1&lt;/R&gt;&lt;C&gt;1&lt;/C&gt;&lt;D xsi:type="xsd:long"&gt;46080&lt;/D&gt;&lt;/FQL&gt;&lt;FQL&gt;&lt;Q&gt;ZION^FG_COMPANY_NAME&lt;/Q&gt;&lt;R&gt;1&lt;/R&gt;&lt;C&gt;1&lt;/C&gt;&lt;D xsi:type="xsd:string"&gt;Zions Bancorporation NA&lt;/D&gt;&lt;/FQL&gt;&lt;FQL&gt;&lt;Q&gt;UNP^FG_COMPANY_NAME&lt;/Q&gt;&lt;R&gt;1&lt;/R&gt;&lt;C&gt;1&lt;/C&gt;&lt;D xsi:type="xsd:string"&gt;Union Pacific Corporation&lt;/D&gt;&lt;/FQL&gt;&lt;FQL&gt;&lt;Q&gt;TTWO^FG_COMPANY_NAME&lt;/Q&gt;&lt;R&gt;1&lt;/R&gt;&lt;C&gt;1&lt;/C&gt;&lt;D xsi:type="xsd:string"&gt;Take-Two Interactive Software, Inc.&lt;/D&gt;&lt;/FQL&gt;&lt;FQL&gt;&lt;Q&gt;TMUS^FG_COMPANY_NAME&lt;/Q&gt;&lt;R&gt;1&lt;/R&gt;&lt;C&gt;1&lt;/C&gt;&lt;D xsi:type="xsd:string"&gt;T-Mobile US, Inc.&lt;/D&gt;&lt;/FQL&gt;&lt;FQL&gt;&lt;Q&gt;SMCI^FG_COMPANY_NAME&lt;/Q&gt;&lt;R&gt;1&lt;/R&gt;&lt;C&gt;1&lt;/C&gt;&lt;D xsi:type="xsd:string"&gt;Super Micro Computer, Inc.&lt;/D&gt;&lt;/FQL&gt;&lt;FQL&gt;&lt;Q&gt;MGM^FG_COMPANY_NAME&lt;/Q&gt;&lt;R&gt;1&lt;/R&gt;&lt;C&gt;1&lt;/C&gt;&lt;D xsi:type="xsd:string"&gt;MGM Resorts International&lt;/D&gt;&lt;/FQL&gt;&lt;FQL&gt;&lt;Q&gt;MAS^FG_COMPANY_NAME&lt;/Q&gt;&lt;R&gt;1&lt;/R&gt;&lt;C&gt;1&lt;/C&gt;&lt;D xsi:type="xsd:string"&gt;Masco Corporation&lt;/D&gt;&lt;/FQL&gt;&lt;FQL&gt;&lt;Q&gt;LH^FG_COMPANY_NAME&lt;/Q&gt;&lt;R&gt;1&lt;/R&gt;&lt;C&gt;1&lt;/C&gt;&lt;D xsi:type="xsd:string"&gt;Labcorp Holdings Inc.&lt;/D&gt;&lt;/FQL&gt;&lt;FQL&gt;&lt;Q&gt;KMB^FG_COMPANY_NAME&lt;/Q&gt;&lt;R&gt;1&lt;/R&gt;&lt;C&gt;1&lt;/C&gt;&lt;D xsi:type="xsd:string"&gt;Kimberly-Clark Corporation&lt;/D&gt;&lt;/FQL&gt;&lt;FQL&gt;&lt;Q&gt;INCY^FG_COMPANY_NAME&lt;/Q&gt;&lt;R&gt;1&lt;/R&gt;&lt;C&gt;1&lt;/C&gt;&lt;D xsi:type="xsd:string"&gt;Incyte Corporation&lt;/D&gt;&lt;/FQL&gt;&lt;FQL&gt;&lt;Q&gt;HD^FG_COMPANY_NAME&lt;/Q&gt;&lt;R&gt;1&lt;/R&gt;&lt;C&gt;1&lt;/C&gt;&lt;D xsi:type="xsd:string"&gt;Home Depot, Inc.&lt;/D&gt;&lt;/FQL&gt;&lt;FQL&gt;&lt;Q&gt;GEV^FG_COMPANY_NAME&lt;/Q&gt;&lt;R&gt;1&lt;/R&gt;&lt;C&gt;1&lt;/C&gt;&lt;D xsi:type="xsd:string"&gt;GE Vernova Inc.&lt;/D&gt;&lt;/FQL&gt;&lt;FQL&gt;&lt;Q&gt;FRT^FG_COMPANY_NAME&lt;/Q&gt;&lt;R&gt;1&lt;/R&gt;&lt;C&gt;1&lt;/C&gt;&lt;D xsi:type="xsd:string"&gt;Federal Realty Investment Trust&lt;/D&gt;&lt;/FQL&gt;&lt;FQL&gt;&lt;Q&gt;CAG^FG_COMPANY_NAME&lt;/Q&gt;&lt;R&gt;1&lt;/R&gt;&lt;C&gt;1&lt;/C&gt;&lt;D xsi:type="xsd:string"&gt;Conagra Brands, Inc.&lt;/D&gt;&lt;/FQL&gt;&lt;FQL&gt;&lt;Q&gt;BG^FG_COMPANY_NAME&lt;/Q&gt;&lt;R&gt;1&lt;/R&gt;&lt;C&gt;1&lt;/C&gt;&lt;D xsi:type="xsd:string"&gt;Bunge Global SA&lt;/D&gt;&lt;/FQL&gt;&lt;FQL&gt;&lt;Q&gt;ARE^FG_COMPANY_NAME&lt;/Q&gt;&lt;R&gt;1&lt;/R&gt;&lt;C&gt;1&lt;/C&gt;&lt;D xsi:type="xsd:string"&gt;Alexandria Real Estate Equities, Inc.&lt;/D&gt;&lt;/FQL&gt;&lt;FQL&gt;&lt;Q&gt;OKE^FE_ESTIMATE(EPS,MEAN,QTR_ROLL,-0,0,,,'')&lt;/Q&gt;&lt;R&gt;1&lt;/R&gt;&lt;C&gt;1&lt;/C&gt;&lt;D xsi:type="xsd:double"&gt;1.55&lt;/D&gt;&lt;/FQL&gt;&lt;FQL&gt;&lt;Q&gt;JCI^FF_EPS(QTR_R,0)&lt;/Q&gt;&lt;R&gt;1&lt;/R&gt;&lt;C&gt;1&lt;/C&gt;&lt;D xsi:type="xsd:double"&gt;0.8534&lt;/D&gt;&lt;/FQL&gt;&lt;FQL&gt;&lt;Q&gt;HON^FF_EPS(QTR_R,0)&lt;/Q&gt;&lt;R&gt;1&lt;/R&gt;&lt;C&gt;1&lt;/C&gt;&lt;D xsi:type="xsd:double"&gt;0.462&lt;/D&gt;&lt;/FQL&gt;&lt;FQL&gt;&lt;Q&gt;GNRC^FE_ESTIMATE(EPS,MEAN,QTR_ROLL,-0,0,,,'')&lt;/Q&gt;&lt;R&gt;1&lt;/R&gt;&lt;C&gt;1&lt;/C&gt;&lt;D xsi:type="xsd:double"&gt;1.61&lt;/D&gt;&lt;/FQL&gt;&lt;FQL&gt;&lt;Q&gt;FTNT^JULIAN(FF_EPS(QTR_R,0).DATES)&lt;/Q&gt;&lt;R&gt;1&lt;/R&gt;&lt;C&gt;1&lt;/C&gt;&lt;D xsi:type="xsd:long"&gt;46022&lt;/D&gt;&lt;/FQL&gt;&lt;FQL&gt;&lt;Q&gt;FICO^FF_EPS(QTR_R,0)&lt;/Q&gt;&lt;R&gt;1&lt;/R&gt;&lt;C&gt;1&lt;/C&gt;&lt;D xsi:type="xsd:double"&gt;6.6104&lt;/D&gt;&lt;/FQL&gt;&lt;FQL&gt;&lt;Q&gt;DAL^JULIAN(FF_EPS(QTR_R,0).DATES)&lt;/Q&gt;&lt;R&gt;1&lt;/R&gt;&lt;C&gt;1&lt;/C&gt;&lt;D xsi:type="xsd:long"&gt;46022&lt;/D&gt;&lt;/FQL&gt;&lt;FQL&gt;&lt;Q&gt;CSCO^FE_ESTIMATE(EPS,MEAN,QTR_ROLL,-0,0,,,'')&lt;/Q&gt;&lt;R&gt;1&lt;/R&gt;&lt;C&gt;1&lt;/C&gt;&lt;D xsi:type="xsd:double"&gt;1.04&lt;/D&gt;&lt;/FQL&gt;&lt;FQL&gt;&lt;Q&gt;CRL^JULIAN(FF_EPS(QTR_R,0).DATES)&lt;/Q&gt;&lt;R&gt;1&lt;/R&gt;&lt;C&gt;1&lt;/C&gt;&lt;D xsi:type="xsd:long"&gt;46022&lt;/D&gt;&lt;/FQL&gt;&lt;FQL&gt;&lt;Q&gt;CMG^JULIAN(FF_EPS(QTR_R,0).DATES)&lt;/Q&gt;&lt;R&gt;1&lt;/R&gt;&lt;C&gt;1&lt;/C&gt;&lt;D xsi:type="xsd:long"&gt;46022&lt;/D&gt;&lt;/FQL&gt;&lt;FQL&gt;&lt;Q&gt;CBRE^FE_ESTIMATE(EPS,MEAN,QTR_ROLL,-0,0,,,'')&lt;/Q&gt;&lt;R&gt;1&lt;/R&gt;&lt;C&gt;1&lt;/C&gt;&lt;D xsi:type="xsd:double"&gt;2.73&lt;/D&gt;&lt;/FQL&gt;&lt;FQL&gt;&lt;Q&gt;BRK.B^FE_ESTIMATE(EPS,MEAN,QTR_ROLL,-0,0,,,'')&lt;/Q&gt;&lt;R&gt;1&lt;/R&gt;&lt;C&gt;1&lt;/C&gt;&lt;D xsi:type="xsd:double"&gt;4.72865&lt;/D&gt;&lt;/FQL&gt;&lt;FQL&gt;&lt;Q&gt;ATO^FE_ESTIMATE(EPS,MEAN,QTR_ROLL,-0,0,,,'')&lt;/Q&gt;&lt;R&gt;1&lt;/R&gt;&lt;C&gt;1&lt;/C&gt;&lt;D xsi:type="xsd:double"&gt;2.44&lt;/D&gt;&lt;/FQL&gt;&lt;FQL&gt;&lt;Q&gt;AOS^FF_EPS(QTR_R,0)&lt;/Q&gt;&lt;R&gt;1&lt;/R&gt;&lt;C&gt;1&lt;/C&gt;&lt;D xsi:type="xsd:double"&gt;0.8961&lt;/D&gt;&lt;/FQL&gt;&lt;FQL&gt;&lt;Q&gt;ALL^FF_EPS(QTR_R,0)&lt;/Q&gt;&lt;R&gt;1&lt;/R&gt;&lt;C&gt;1&lt;/C&gt;&lt;D xsi:type="xsd:double"&gt;14.3672&lt;/D&gt;&lt;/FQL&gt;&lt;FQL&gt;&lt;Q&gt;AEE^FE_ESTIMATE(EPS,MEAN,QTR_ROLL,-0,0,,,'')&lt;/Q&gt;&lt;R&gt;1&lt;/R&gt;&lt;C&gt;1&lt;/C&gt;&lt;D xsi:type="xsd:double"&gt;0.78&lt;/D&gt;&lt;/FQL&gt;&lt;FQL&gt;&lt;Q&gt;WTW^FG_COMPANY_NAME&lt;/Q&gt;&lt;R&gt;1&lt;/R&gt;&lt;C&gt;1&lt;/C&gt;&lt;D xsi:type="xsd:string"&gt;Willis Towers Watson Public Limited Company&lt;/D&gt;&lt;/FQL&gt;&lt;FQL&gt;&lt;Q&gt;TPR^FG_COMPANY_NAME&lt;/Q&gt;&lt;R&gt;1&lt;/R&gt;&lt;C&gt;1&lt;/C&gt;&lt;D xsi:type="xsd:string"&gt;Tapestry, Inc.&lt;/D&gt;&lt;/FQL&gt;&lt;FQL&gt;&lt;Q&gt;OKE^FG_COMPANY_NAME&lt;/Q&gt;&lt;R&gt;1&lt;/R&gt;&lt;C&gt;1&lt;/C&gt;&lt;D xsi:type="xsd:string"&gt;ONEOK, Inc.&lt;/D&gt;&lt;/FQL&gt;&lt;FQL&gt;&lt;Q&gt;MOS^FG_COMPANY_NAME&lt;/Q&gt;&lt;R&gt;1&lt;/R&gt;&lt;C&gt;1&lt;/C&gt;&lt;D xsi:type="xsd:string"&gt;Mosaic Company&lt;/D&gt;&lt;/FQL&gt;&lt;FQL&gt;&lt;Q&gt;IT^FG_COMPANY_NAME&lt;/Q&gt;&lt;R&gt;1&lt;/R&gt;&lt;C&gt;1&lt;/C&gt;&lt;D xsi:type="xsd:string"&gt;Gartner, Inc.&lt;/D&gt;&lt;/FQL&gt;&lt;FQL&gt;&lt;Q&gt;EL^FG_COMPANY_NAME&lt;/Q&gt;&lt;R&gt;1&lt;/R&gt;&lt;C&gt;1&lt;/C&gt;&lt;D xsi:type="xsd:string"&gt;Estee Lauder Companies Inc. Class A&lt;/D&gt;&lt;/FQL&gt;&lt;FQL&gt;&lt;Q&gt;DHR^FG_COMPANY_NAME&lt;/Q&gt;&lt;R&gt;1&lt;/R&gt;&lt;C&gt;1&lt;/C&gt;&lt;D xsi:type="xsd:string"&gt;Danaher Corporation&lt;/D&gt;&lt;/FQL&gt;&lt;FQL&gt;&lt;Q&gt;DAL^FG_COMPANY_NAME&lt;/Q&gt;&lt;R&gt;1&lt;/R&gt;&lt;C&gt;1&lt;/C&gt;&lt;D xsi:type="xsd:string"&gt;Delta Air Lines, Inc.&lt;/D&gt;&lt;/FQL&gt;&lt;FQL&gt;&lt;Q&gt;CTAS^FG_COMPANY_NAME&lt;/Q&gt;&lt;R&gt;1&lt;/R&gt;&lt;C&gt;1&lt;/C&gt;&lt;D xsi:type="xsd:string"&gt;Cintas Corporation&lt;/D&gt;&lt;/FQL&gt;&lt;FQL&gt;&lt;Q&gt;PVH^JULIAN(FF_EPS(QTR_R,0).DATES)&lt;/Q&gt;&lt;R&gt;1&lt;/R&gt;&lt;C&gt;1&lt;/C&gt;&lt;D xsi:type="xsd:long"&gt;45961&lt;/D&gt;&lt;/FQL&gt;&lt;FQL&gt;&lt;Q&gt;MKC^FE_ESTIMATE(EPS,MEAN,QTR_ROLL,-0,0,,,'')&lt;/Q&gt;&lt;R&gt;1&lt;/R&gt;&lt;C&gt;1&lt;/C&gt;&lt;D xsi:type="xsd:double"&gt;0.86&lt;/D&gt;&lt;/FQL&gt;&lt;FQL&gt;&lt;Q&gt;LRCX^FE_ESTIMATE(EPS,MEAN,QTR_ROLL,-0,0,,,'')&lt;/Q&gt;&lt;R&gt;1&lt;/R&gt;&lt;C&gt;1&lt;/C&gt;&lt;D xsi:type="xsd:double"&gt;1.27&lt;/D&gt;&lt;/FQL&gt;&lt;FQL&gt;&lt;Q&gt;KMX^FE_ESTIMATE(EPS,MEAN,QTR_ROLL,-0,0,,,'')&lt;/Q&gt;&lt;R&gt;1&lt;/R&gt;&lt;C&gt;1&lt;/C&gt;&lt;D xsi:type="xsd:double"&gt;0.43&lt;/D&gt;&lt;/FQL&gt;&lt;FQL&gt;&lt;Q&gt;IQV^FE_ESTIMATE(EPS,MEAN,QTR_ROLL,-0,0,,,'')&lt;/Q&gt;&lt;R&gt;1&lt;/R&gt;&lt;C&gt;1&lt;/C&gt;&lt;D xsi:type="xsd:double"&gt;3.42&lt;/D&gt;&lt;/FQL&gt;&lt;FQL&gt;&lt;Q&gt;INTU^FF_EPS(QTR_R,0)&lt;/Q&gt;&lt;R&gt;1&lt;/R&gt;&lt;C&gt;1&lt;/C&gt;&lt;D xsi:type="xsd:double"&gt;2.475&lt;/D&gt;&lt;/FQL&gt;&lt;FQL&gt;&lt;Q&gt;HSIC^FF_EPS(QTR_R,0)&lt;/Q&gt;&lt;R&gt;1&lt;/R&gt;&lt;C&gt;1&lt;/C&gt;&lt;D xsi:type="xsd:double"&gt;0.8535&lt;/D&gt;&lt;/FQL&gt;&lt;FQL&gt;&lt;Q&gt;HAS^JULIAN(FF_EPS(QTR_R,0).DATES)&lt;/Q&gt;&lt;R&gt;1&lt;/R&gt;&lt;C&gt;1&lt;/C&gt;&lt;D xsi:type="xsd:long"&gt;46022&lt;/D&gt;&lt;/FQL&gt;&lt;FQL&gt;&lt;Q&gt;FMC^JULIAN(FF_EPS(QTR_R,0).DATES)&lt;/Q&gt;&lt;R&gt;1&lt;/R&gt;&lt;C&gt;1&lt;/C&gt;&lt;D xsi:type="xsd:long"&gt;46022&lt;/D&gt;&lt;/FQL&gt;&lt;FQL&gt;&lt;Q&gt;DVN^FF_EPS(QTR_R,0)&lt;/Q&gt;&lt;R&gt;1&lt;/R&gt;&lt;C&gt;1&lt;/C&gt;&lt;D xsi:type="xsd:double"&gt;0.9035&lt;/D&gt;&lt;/FQL&gt;&lt;FQL&gt;&lt;Q&gt;CTVA^FE_ESTIMATE(EPS,MEAN,QTR_ROLL,-0,0,,,'')&lt;/Q&gt;&lt;R&gt;1&lt;/R&gt;&lt;C&gt;1&lt;/C&gt;&lt;D xsi:type="xsd:double"&gt;0.22&lt;/D&gt;&lt;/FQL&gt;&lt;FQL&gt;&lt;Q&gt;CPT^FE_ESTIMATE(EPS,MEAN,QTR_ROLL,-0,0,,,'')&lt;/Q&gt;&lt;R&gt;1&lt;/R&gt;&lt;C&gt;1&lt;/C&gt;&lt;D xsi:type="xsd:double"&gt;1.44&lt;/D&gt;&lt;/FQL&gt;&lt;FQL&gt;&lt;Q&gt;CI^FF_EPS(QTR_R,0)&lt;/Q&gt;&lt;R&gt;1&lt;/R&gt;&lt;C&gt;1&lt;/C&gt;&lt;D xsi:type="xsd:double"&gt;4.6444&lt;/D&gt;&lt;/FQL&gt;&lt;FQL&gt;&lt;Q&gt;CAT^FF_EPS(QTR_R,0)&lt;/Q&gt;&lt;R&gt;1&lt;/R&gt;&lt;C&gt;1&lt;/C&gt;&lt;D xsi:type="xsd:double"&gt;5.1215&lt;/D&gt;&lt;/FQL&gt;&lt;FQL&gt;&lt;Q&gt;BWA^FE_ESTIMATE(EPS,MEAN,QTR_ROLL,-0,0,,,'')&lt;/Q&gt;&lt;R&gt;1&lt;/R&gt;&lt;C&gt;1&lt;/C&gt;&lt;D xsi:type="xsd:double"&gt;1.35&lt;/D&gt;&lt;/FQL&gt;&lt;FQL&gt;&lt;Q&gt;BLK^FF_EPS(QTR_R,0)&lt;/Q&gt;&lt;R&gt;1&lt;/R&gt;&lt;C&gt;1&lt;/C&gt;&lt;D xsi:type="xsd:double"&gt;7.1584&lt;/D&gt;&lt;/FQL&gt;&lt;FQL&gt;&lt;Q&gt;LULU^FG_COMPANY_NAME&lt;/Q&gt;&lt;R&gt;1&lt;/R&gt;&lt;C&gt;1&lt;/C&gt;&lt;D xsi:type="xsd:string"&gt;lululemon athletica inc.&lt;/D&gt;&lt;/FQL&gt;&lt;FQL&gt;&lt;Q&gt;GPC^FG_COMPANY_NAME&lt;/Q&gt;&lt;R&gt;1&lt;/R&gt;&lt;C&gt;1&lt;/C&gt;&lt;D xsi:type="xsd:string"&gt;Genuine Parts Company&lt;/D&gt;&lt;/FQL&gt;&lt;FQL&gt;&lt;Q&gt;FFIV^FG_COMPANY_NAME&lt;/Q&gt;&lt;R&gt;1&lt;/R&gt;&lt;C&gt;1&lt;/C&gt;&lt;D xsi:type="xsd:string"&gt;F5, Inc.&lt;/D&gt;&lt;/FQL&gt;&lt;FQL&gt;&lt;Q&gt;CSX^FG_COMPANY_NAME&lt;/Q&gt;&lt;R&gt;1&lt;/R&gt;&lt;C&gt;1&lt;/C&gt;&lt;D xsi:type="xsd:string"&gt;CSX Corporation&lt;/D&gt;&lt;/FQL&gt;&lt;FQL&gt;&lt;Q&gt;ALLE^FG_COMPANY_NAME&lt;/Q&gt;&lt;R&gt;1&lt;/R&gt;&lt;C&gt;1&lt;/C&gt;&lt;D xsi:type="xsd:string"&gt;Allegion Public Limited Company&lt;/D&gt;&lt;/FQL&gt;&lt;FQL&gt;&lt;Q&gt;ACN^FG_COMPANY_NAME&lt;/Q&gt;&lt;R&gt;1&lt;/R&gt;&lt;C&gt;1&lt;/C&gt;&lt;D xsi:type="xsd:string"&gt;Accenture Plc Class A&lt;/D&gt;&lt;/FQL&gt;&lt;FQL&gt;&lt;Q&gt;ZBRA^JULIAN(FF_EPS(QTR_R,0).DATES)&lt;/Q&gt;&lt;R&gt;1&lt;/R&gt;&lt;C&gt;1&lt;/C&gt;&lt;D xsi:type="xsd:long"&gt;46022&lt;/D&gt;&lt;/FQL&gt;&lt;FQL&gt;&lt;Q&gt;WDC^FE_ESTIMATE(EPS,MEAN,QTR_ROLL,-0,0,,,'')&lt;/Q&gt;&lt;R&gt;1&lt;/R&gt;&lt;C&gt;1&lt;/C&gt;&lt;D xsi:type="xsd:double"&gt;2.13&lt;/D&gt;&lt;/FQL&gt;&lt;FQL&gt;&lt;Q&gt;VTR^FF_EPS(QTR_R,0)&lt;/Q&gt;&lt;R&gt;1&lt;/R&gt;&lt;C&gt;1&lt;/C&gt;&lt;D xsi:type="xsd:double"&gt;0.146&lt;/D&gt;&lt;/FQL&gt;&lt;FQL&gt;&lt;Q&gt;UHS^FE_ESTIMATE(EPS,MEAN,QTR_ROLL,-0,0,,,'')&lt;/Q&gt;&lt;R&gt;1&lt;/R&gt;&lt;C&gt;1&lt;/C&gt;&lt;D xsi:type="xsd:double"&gt;5.88&lt;/D&gt;&lt;/FQL&gt;&lt;FQL&gt;&lt;Q&gt;TER^FF_EPS(QTR_R,0)&lt;/Q&gt;&lt;R&gt;1&lt;/R&gt;&lt;C&gt;1&lt;/C&gt;&lt;D xsi:type="xsd:double"&gt;1.6316&lt;/D&gt;&lt;/FQL&gt;&lt;FQL&gt;&lt;Q&gt;SYY^FE_ESTIMATE(EPS,MEAN,QTR_ROLL,-0,0,,,'')&lt;/Q&gt;&lt;R&gt;1&lt;/R&gt;&lt;C&gt;1&lt;/C&gt;&lt;D xsi:type="xsd:double"&gt;0.99&lt;/D&gt;&lt;/FQL&gt;&lt;FQL&gt;&lt;Q&gt;SPG^JULIAN(FF_EPS(QTR_R,0).DATES)&lt;/Q&gt;&lt;R&gt;1&lt;/R&gt;&lt;C&gt;1&lt;/C&gt;&lt;D xsi:type="xsd:long"&gt;46022&lt;/D&gt;&lt;/FQL&gt;&lt;FQL&gt;&lt;Q&gt;RTX^JULIAN(FF_EPS(QTR_R,0).DATES)&lt;/Q&gt;&lt;R&gt;1&lt;/R&gt;&lt;C&gt;1&lt;/C&gt;&lt;D xsi:type="xsd:long"&gt;46022&lt;/D&gt;&lt;/FQL&gt;&lt;FQL&gt;&lt;Q&gt;RJF^FE_ESTIMATE(EPS,MEAN,QTR_ROLL,-0,0,,,'')&lt;/Q&gt;&lt;R&gt;1&lt;/R&gt;&lt;C&gt;1&lt;/C&gt;&lt;D xsi:type="xsd:double"&gt;2.86&lt;/D&gt;&lt;/FQL&gt;&lt;FQL&gt;&lt;Q&gt;RCL^FF_EPS(QTR_R,0)&lt;/Q&gt;&lt;R&gt;1&lt;/R&gt;&lt;C&gt;1&lt;/C&gt;&lt;D xsi:type="xsd:double"&gt;2.7619&lt;/D&gt;&lt;/FQL&gt;&lt;FQL&gt;&lt;Q&gt;PGR^FF_EPS(QTR_R,0)&lt;/Q&gt;&lt;R&gt;1&lt;/R&gt;&lt;C&gt;1&lt;/C&gt;&lt;D xsi:type="xsd:double"&gt;5.0187&lt;/D&gt;&lt;/FQL&gt;&lt;FQL&gt;&lt;Q&gt;NSC^FF_EPS(QTR_R,0)&lt;/Q&gt;&lt;R&gt;1&lt;/R&gt;&lt;C&gt;1&lt;/C&gt;&lt;D xsi:type="xsd:double"&gt;2.8652&lt;/D&gt;&lt;/FQL&gt;&lt;FQL&gt;&lt;Q&gt;MET^JULIAN(FF_EPS(QTR_R,0).DATES)&lt;/Q&gt;&lt;R&gt;1&lt;/R&gt;&lt;C&gt;1&lt;/C&gt;&lt;D xsi:type="xsd:long"&gt;46022&lt;/D&gt;&lt;/FQL&gt;&lt;FQL&gt;&lt;Q&gt;GRMN^JULIAN(FF_EPS(QTR_R,0).DATES)&lt;/Q&gt;&lt;R&gt;1&lt;/R&gt;&lt;C&gt;1&lt;/C&gt;&lt;D xsi:type="xsd:long"&gt;46022&lt;/D&gt;&lt;/FQL&gt;&lt;FQL&gt;&lt;Q&gt;DLTR^FE_ESTIMATE(EPS,MEAN,QTR_ROLL,-0,0,,,'')&lt;/Q&gt;&lt;R&gt;1&lt;/R&gt;&lt;C&gt;1&lt;/C&gt;&lt;D xsi:type="xsd:double"&gt;2.56&lt;/D&gt;&lt;/FQL&gt;&lt;FQL&gt;&lt;Q&gt;COO^FE_ESTIMATE(EPS,MEAN,QTR_ROLL,-0,0,,,'')&lt;/Q&gt;&lt;R&gt;1&lt;/R&gt;&lt;C&gt;1&lt;/C&gt;&lt;D xsi:type="xsd:double"&gt;1.1&lt;/D&gt;&lt;/FQL&gt;&lt;FQL&gt;&lt;Q&gt;AVGO^FE_ESTIMATE(EPS,MEAN,QTR_ROLL,-0,0,,,'')&lt;/Q&gt;&lt;R&gt;1&lt;/R&gt;&lt;C&gt;1&lt;/C&gt;&lt;D xsi:type="xsd:double"&gt;2.05&lt;/D&gt;&lt;/FQL&gt;&lt;FQL&gt;&lt;Q&gt;AMGN^FE_ESTIMATE(EPS,MEAN,QTR_ROLL,-0,0,,,'')&lt;/Q&gt;&lt;R&gt;1&lt;/R&gt;&lt;C&gt;1&lt;/C&gt;&lt;D xsi:type="xsd:double"&gt;5.29&lt;/D&gt;&lt;/FQL&gt;&lt;FQL&gt;&lt;Q&gt;AKAM^JULIAN(FF_EPS(QTR_R,0).DATES)&lt;/Q&gt;&lt;R&gt;1&lt;/R&gt;&lt;C&gt;1&lt;/C&gt;&lt;D xsi:type="xsd:long"&gt;46022&lt;/D&gt;&lt;/FQL&gt;&lt;FQL&gt;&lt;Q&gt;AFL^FE_ESTIMATE(EPS,MEAN,QTR_ROLL,-0,0,,,'')&lt;/Q&gt;&lt;R&gt;1&lt;/R&gt;&lt;C&gt;1&lt;/C&gt;&lt;D xsi:type="xsd:double"&gt;1.57&lt;/D&gt;&lt;/FQL&gt;&lt;FQL&gt;&lt;Q&gt;ABBV^FE_ESTIMATE(EPS,MEAN,QTR_ROLL,-0,0,,,'')&lt;/Q&gt;&lt;R&gt;1&lt;/R&gt;&lt;C&gt;1&lt;/C&gt;&lt;D xsi:type="xsd:double"&gt;2.71&lt;/D&gt;&lt;/FQL&gt;&lt;FQL&gt;&lt;Q&gt;WBD^FG_COMPANY_NAME&lt;/Q&gt;&lt;R&gt;1&lt;/R&gt;&lt;C&gt;1&lt;/C&gt;&lt;D xsi:type="xsd:string"&gt;Warner Bros. Discovery, Inc. Series A&lt;/D&gt;&lt;/FQL&gt;&lt;FQL&gt;&lt;Q&gt;STX^FG_COMPANY_NAME&lt;/Q&gt;&lt;R&gt;1&lt;/R&gt;&lt;C&gt;1&lt;/C&gt;&lt;D xsi:type="xsd:string"&gt;Seagate Technology Holdings PLC&lt;/D&gt;&lt;/FQL&gt;&lt;FQL&gt;&lt;Q&gt;REGN^FG_COMPANY_NAME&lt;/Q&gt;&lt;R&gt;1&lt;/R&gt;&lt;C&gt;1&lt;/C&gt;&lt;D xsi:type="xsd:string"&gt;Regeneron Pharmaceuticals, Inc.&lt;/D&gt;&lt;/FQL&gt;&lt;FQL&gt;&lt;Q&gt;PVH^FG_COMPANY_NAME&lt;/Q&gt;&lt;R&gt;1&lt;/R&gt;&lt;C&gt;1&lt;/C&gt;&lt;D xsi:type="xsd:string"&gt;PVH Corp.&lt;/D&gt;&lt;/FQL&gt;&lt;FQL&gt;&lt;Q&gt;HUBB^FG_COMPANY_NAME&lt;/Q&gt;&lt;R&gt;1&lt;/R&gt;&lt;C&gt;1&lt;/C&gt;&lt;D xsi:type="xsd:string"&gt;Hubbell Incorporated&lt;/D&gt;&lt;/FQL&gt;&lt;FQL&gt;&lt;Q&gt;ZBH^FE_ESTIMATE(EPS,MEAN,QTR_ROLL,-0,0,,,'')&lt;/Q&gt;&lt;R&gt;1&lt;/R&gt;&lt;C&gt;1&lt;/C&gt;&lt;D xsi:type="xsd:double"&gt;2.42&lt;/D&gt;&lt;/FQL&gt;&lt;FQL&gt;&lt;Q&gt;WRB^FE_ESTIMATE(EPS,MEAN,QTR_ROLL,-0,0,,,'')&lt;/Q&gt;&lt;R&gt;1&lt;/R&gt;&lt;C&gt;1&lt;/C&gt;&lt;D xsi:type="xsd:double"&gt;1.13&lt;/D&gt;&lt;/FQL&gt;&lt;FQL&gt;&lt;Q&gt;WDC^FF_EPS(QTR_R,0)&lt;/Q&gt;&lt;R&gt;1&lt;/R&gt;&lt;C&gt;1&lt;/C&gt;&lt;D xsi:type="xsd:double"&gt;4.7297&lt;/D&gt;&lt;/FQL&gt;&lt;FQL&gt;&lt;Q&gt;VTR^JULIAN(FF_EPS(QTR_R,0).DATES)&lt;/Q&gt;&lt;R&gt;1&lt;/R&gt;&lt;C&gt;1&lt;/C&gt;&lt;D xsi:type="xsd:long"&gt;46022&lt;/D&gt;&lt;/FQL&gt;&lt;FQL&gt;&lt;Q&gt;UHS^JULIAN(FF_EPS(QTR_R,0).DATES)&lt;/Q&gt;&lt;R&gt;1&lt;/R&gt;&lt;C&gt;1&lt;/C&gt;&lt;D xsi:type="xsd:long"&gt;46022&lt;/D&gt;&lt;/FQL&gt;&lt;FQL&gt;&lt;Q&gt;TT^FE_ESTIMATE(EPS,MEAN,QTR_ROLL,-0,0,,,'')&lt;/Q&gt;&lt;R&gt;1&lt;/R&gt;&lt;C&gt;1&lt;/C&gt;&lt;D xsi:type="xsd:double"&gt;2.86&lt;/D&gt;&lt;/FQL&gt;&lt;FQL&gt;&lt;Q&gt;TRGP^JULIAN(FF_EPS(QTR_R,0).DATES)&lt;/Q&gt;&lt;R&gt;1&lt;/R&gt;&lt;C&gt;1&lt;/C&gt;&lt;D xsi:type="xsd:long"&gt;46022&lt;/D&gt;&lt;/FQL&gt;&lt;FQL&gt;&lt;Q&gt;SYY^FF_EPS(QTR_R,0)&lt;/Q&gt;&lt;R&gt;1&lt;/R&gt;&lt;C&gt;1&lt;/C&gt;&lt;D xsi:type="xsd:double"&gt;0.8093&lt;/D&gt;&lt;/FQL&gt;&lt;FQL&gt;&lt;Q&gt;STX^FF_EPS(QTR_R,0)&lt;/Q&gt;&lt;R&gt;1&lt;/R&gt;&lt;C&gt;1&lt;/C&gt;&lt;D xsi:type="xsd:double"&gt;2.6009&lt;/D&gt;&lt;/FQL&gt;&lt;FQL&gt;&lt;Q&gt;SO^FF_EPS(QTR_R,0)&lt;/Q&gt;&lt;R&gt;1&lt;/R&gt;&lt;C&gt;1&lt;/C&gt;&lt;D xsi:type="xsd:double"&gt;0.3719&lt;/D&gt;&lt;/FQL&gt;&lt;FQL&gt;&lt;Q&gt;RCL^JULIAN(FF_EPS(QTR_R,0).DATES)&lt;/Q&gt;&lt;R&gt;1&lt;/R&gt;&lt;C&gt;1&lt;/C&gt;&lt;D xsi:type="xsd:long"&gt;46022&lt;/D&gt;&lt;/FQL&gt;&lt;FQL&gt;&lt;Q&gt;PLTR^FF_EPS(QTR_R,0)&lt;/Q&gt;&lt;R&gt;1&lt;/R&gt;&lt;C&gt;1&lt;/C&gt;&lt;D xsi:type="xsd:double"&gt;0.2365&lt;/D&gt;&lt;/FQL&gt;&lt;FQL&gt;&lt;Q&gt;OKE^FF_EPS(QTR_R,0)&lt;/Q&gt;&lt;R&gt;1&lt;/R&gt;&lt;C&gt;1&lt;/C&gt;&lt;D xsi:type="xsd:double"&gt;1.5478&lt;/D&gt;&lt;/FQL&gt;&lt;FQL&gt;&lt;Q&gt;NSC^JULIAN(FF_EPS(QTR_R,0).DATES)&lt;/Q&gt;&lt;R&gt;1&lt;/R&gt;&lt;C&gt;1&lt;/C&gt;&lt;D xsi:type="xsd:long"&gt;46022&lt;/D&gt;&lt;/FQL&gt;&lt;FQL&gt;&lt;Q&gt;NFLX^FE_ESTIMATE(EPS,MEAN,QTR_ROLL,-0,0,,,'')&lt;/Q&gt;&lt;R&gt;1&lt;/R&gt;&lt;C&gt;1&lt;/C&gt;&lt;D xsi:type="xsd:double"&gt;0.56&lt;/D&gt;&lt;/FQL&gt;&lt;FQL&gt;&lt;Q&gt;MRK^JULIAN(FF_EPS(QTR_R,0).DATES)&lt;/Q&gt;&lt;R&gt;1&lt;/R&gt;&lt;C&gt;1&lt;/C&gt;&lt;D xsi:type="xsd:long"&gt;46022&lt;/D&gt;&lt;/FQL&gt;&lt;FQL&gt;&lt;Q&gt;MDLZ^FE_ESTIMATE(EPS,MEAN,QTR_ROLL,-0,0,,,'')&lt;/Q&gt;&lt;R&gt;1&lt;/R&gt;&lt;C&gt;1&lt;/C&gt;&lt;D xsi:type="xsd:double"&gt;0.72&lt;/D&gt;&lt;/FQL&gt;&lt;FQL&gt;&lt;Q&gt;MCD^JULIAN(FF_EPS(QTR_R,0).DATES)&lt;/Q&gt;&lt;R&gt;1&lt;/R&gt;&lt;C&gt;1&lt;/C&gt;&lt;D xsi:type="xsd:long"&gt;46022&lt;/D&gt;&lt;/FQL&gt;&lt;FQL&gt;&lt;Q&gt;LYV^JULIAN(FF_EPS(QTR_R,0).DATES)&lt;/Q&gt;&lt;R&gt;1&lt;/R&gt;&lt;C&gt;1&lt;/C&gt;&lt;D xsi:type="xsd:long"&gt;46022&lt;/D&gt;&lt;/FQL&gt;&lt;FQL&gt;&lt;Q&gt;LDOS^JULIAN(FF_EPS(QTR_R,0).DATES)&lt;/Q&gt;&lt;R&gt;1&lt;/R&gt;&lt;C&gt;1&lt;/C&gt;&lt;D xsi:type="xsd:long"&gt;46022&lt;/D&gt;&lt;/FQL&gt;&lt;FQL&gt;&lt;Q&gt;KHC^FE_ESTIMATE(EPS,MEAN,QTR_ROLL,-0,0,,,'')&lt;/Q&gt;&lt;R&gt;1&lt;/R&gt;&lt;C&gt;1&lt;/C&gt;&lt;D xsi:type="xsd:double"&gt;0.67&lt;/D&gt;&lt;/FQL&gt;&lt;FQL&gt;&lt;Q&gt;JPM^FE_ESTIMATE(EPS,MEAN,QTR_ROLL,-0,0,,,'')&lt;/Q&gt;&lt;R&gt;1&lt;/R&gt;&lt;C&gt;1&lt;/C&gt;&lt;D xsi:type="xsd:double"&gt;4.63&lt;/D&gt;&lt;/FQL&gt;&lt;FQL&gt;&lt;Q&gt;JCI^JULIAN(FF_EPS(QTR_R,0).DATES)&lt;/Q&gt;&lt;R&gt;1&lt;/R&gt;&lt;C&gt;1&lt;/C&gt;&lt;D xsi:type="xsd:long"&gt;46022&lt;/D&gt;&lt;/FQL&gt;&lt;FQL&gt;&lt;Q&gt;IT^FE_ESTIMATE(EPS,MEAN,QTR_ROLL,-0,0,,,'')&lt;/Q&gt;&lt;R&gt;1&lt;/R&gt;&lt;C&gt;1&lt;/C&gt;&lt;D xsi:type="xsd:double"&gt;3.94&lt;/D&gt;&lt;/FQL&gt;&lt;FQL&gt;&lt;Q&gt;HON^JULIAN(FF_EPS(QTR_R,0).DATES)&lt;/Q&gt;&lt;R&gt;1&lt;/R&gt;&lt;C&gt;1&lt;/C&gt;&lt;D xsi:type="xsd:long"&gt;46022&lt;/D&gt;&lt;/FQL&gt;&lt;FQL&gt;&lt;Q&gt;FSLR^FE_ESTIMATE(EPS,MEAN,QTR_ROLL,-0,0,,,'')&lt;/Q&gt;&lt;R&gt;1&lt;/R&gt;&lt;C&gt;1&lt;/C&gt;&lt;D xsi:type="xsd:double"&gt;4.84&lt;/D&gt;&lt;/FQL&gt;&lt;FQL&gt;&lt;Q&gt;FDS^FE_ESTIMATE(EPS,MEAN,QTR_ROLL,-0,0,,,'')&lt;/Q&gt;&lt;R&gt;1&lt;/R&gt;&lt;C&gt;1&lt;/C&gt;&lt;D xsi:type="xsd:double"&gt;4.51&lt;/D&gt;&lt;/FQL&gt;&lt;FQL&gt;&lt;Q&gt;WDC^JULIAN(FF_EPS(QTR_R,0).DATES)&lt;/Q&gt;&lt;R&gt;1&lt;/R&gt;&lt;C&gt;1&lt;/C&gt;&lt;D xsi:type="xsd:long"&gt;46022&lt;/D&gt;&lt;/FQL&gt;&lt;FQL&gt;&lt;Q&gt;V^JULIAN(FF_EPS(QTR_R,0).DATES)&lt;/Q&gt;&lt;R&gt;1&lt;/R&gt;&lt;C&gt;1&lt;/C&gt;&lt;D xsi:type="xsd:long"&gt;46022&lt;/D&gt;&lt;/FQL&gt;&lt;FQL&gt;&lt;Q&gt;TSN^FF_EPS(QTR_R,0)&lt;/Q&gt;&lt;R&gt;1&lt;/R&gt;&lt;C&gt;1&lt;/C&gt;&lt;D xsi:type="xsd:double"&gt;0.2464&lt;/D&gt;&lt;/FQL&gt;&lt;FQL&gt;&lt;Q&gt;STX^JULIAN(FF_EPS(QTR_R,0).DATES)&lt;/Q&gt;&lt;R&gt;1&lt;/R&gt;&lt;C&gt;1&lt;/C&gt;&lt;D xsi:type="xsd:long"&gt;46022&lt;/D&gt;&lt;/FQL&gt;&lt;FQL&gt;&lt;Q&gt;SEE^FF_EPS(QTR_R,0)&lt;/Q&gt;&lt;R&gt;1&lt;/R&gt;&lt;C&gt;1&lt;/C&gt;&lt;D xsi:type="xsd:double"&gt;0.2996&lt;/D&gt;&lt;/FQL&gt;&lt;FQL&gt;&lt;Q&gt;RSG^FF_EPS(QTR_R,0)&lt;/Q&gt;&lt;R&gt;1&lt;/R&gt;&lt;C&gt;1&lt;/C&gt;&lt;D xsi:type="xsd:double"&gt;1.7598&lt;/D&gt;&lt;/FQL&gt;&lt;FQL&gt;&lt;Q&gt;RJF^FF_EPS(QTR_R,0)&lt;/Q&gt;&lt;R&gt;1&lt;/R&gt;&lt;C&gt;1&lt;/C&gt;&lt;D xsi:type="xsd:double"&gt;2.7855&lt;/D&gt;&lt;/FQL&gt;&lt;FQL&gt;&lt;Q&gt;PTC^JULIAN(FF_EPS(QTR_R,0).DATES)&lt;/Q&gt;&lt;R&gt;1&lt;/R&gt;&lt;C&gt;1&lt;/C&gt;&lt;D xsi:type="xsd:long"&gt;46022&lt;/D&gt;&lt;/FQL&gt;&lt;FQL&gt;&lt;Q&gt;POOL^JULIAN(FF_EPS(QTR_R,0).DATES)&lt;/Q&gt;&lt;R&gt;1&lt;/R&gt;&lt;C&gt;1&lt;/C&gt;&lt;D xsi:type="xsd:long"&gt;46022&lt;/D&gt;&lt;/FQL&gt;&lt;FQL&gt;&lt;Q&gt;PG^JULIAN(FF_EPS(QTR_R,0).DATES)&lt;/Q&gt;&lt;R&gt;1&lt;/R&gt;&lt;C&gt;1&lt;/C&gt;&lt;D xsi:type="xsd:long"&gt;46022&lt;/D&gt;&lt;/FQL&gt;&lt;FQL&gt;&lt;Q&gt;PCG^FE_ESTIMATE(EPS,MEAN,QTR_ROLL,-0,0,,,'')&lt;/Q&gt;&lt;R&gt;1&lt;/R&gt;&lt;C&gt;1&lt;/C&gt;&lt;D xsi:type="xsd:double"&gt;0.36&lt;/D&gt;&lt;/FQL&gt;&lt;FQL&gt;&lt;Q&gt;OTIS^FF_EPS(QTR_R,0)&lt;/Q&gt;&lt;R&gt;1&lt;/R&gt;&lt;C&gt;1&lt;/C&gt;&lt;D xsi:type="xsd:double"&gt;0.9546&lt;/D&gt;&lt;/FQL&gt;&lt;FQL&gt;&lt;Q&gt;NVR^FE_ESTIMATE(EPS,MEAN,QTR_ROLL,-0,0,,,'')&lt;/Q&gt;&lt;R&gt;1&lt;/R&gt;&lt;C&gt;1&lt;/C&gt;&lt;D xsi:type="xsd:double"&gt;121.54&lt;/D&gt;&lt;/FQL&gt;&lt;FQL&gt;&lt;Q&gt;NFLX^FF_EPS(QTR_R,0)&lt;/Q&gt;&lt;R&gt;1&lt;/R&gt;&lt;C&gt;1&lt;/C&gt;&lt;D xsi:type="xsd:double"&gt;0.5602&lt;/D&gt;&lt;/FQL&gt;&lt;FQL&gt;&lt;Q&gt;MSFT^JULIAN(FF_EPS(QTR_R,0).DATES)&lt;/Q&gt;&lt;R&gt;1&lt;/R&gt;&lt;C&gt;1&lt;/C&gt;&lt;D xsi:type="xsd:long"&gt;46022&lt;/D&gt;&lt;/FQL&gt;&lt;FQL&gt;&lt;Q&gt;MNST^FF_EPS(QTR_R,0)&lt;/Q&gt;&lt;R&gt;1&lt;/R&gt;&lt;C&gt;1&lt;/C&gt;&lt;D xsi:type="xsd:double"&gt;0.4552&lt;/D&gt;&lt;/FQL&gt;&lt;FQL&gt;&lt;Q&gt;MKC^FF_EPS(QTR_R,0)&lt;/Q&gt;&lt;R&gt;1&lt;/R&gt;&lt;C&gt;1&lt;/C&gt;&lt;D xsi:type="xsd:double"&gt;0.8414&lt;/D&gt;&lt;/FQL&gt;&lt;FQL&gt;&lt;Q&gt;LRCX^FF_EPS(QTR_R,0)&lt;/Q&gt;&lt;R&gt;1&lt;/R&gt;&lt;C&gt;1&lt;/C&gt;&lt;D xsi:type="xsd:double"&gt;1.2633&lt;/D&gt;&lt;/FQL&gt;&lt;FQL&gt;&lt;Q&gt;LKQ^JULIAN(FF_EPS(QTR_R,0).DATES)&lt;/Q&gt;&lt;R&gt;1&lt;/R&gt;&lt;C&gt;1&lt;/C&gt;&lt;D xsi:type="xsd:long"&gt;46022&lt;/D&gt;&lt;/FQL&gt;&lt;FQL&gt;&lt;Q&gt;JBL^FE_ESTIMATE(EPS,MEAN,QTR_ROLL,-0,0,,,'')&lt;/Q&gt;&lt;R&gt;1&lt;/R&gt;&lt;C&gt;1&lt;/C&gt;&lt;D xsi:type="xsd:double"&gt;2.69&lt;/D&gt;&lt;/FQL&gt;&lt;FQL&gt;&lt;Q&gt;IQV^JULIAN(FF_EPS(QTR_R,0).DATES)&lt;/Q&gt;&lt;R&gt;1&lt;/R&gt;&lt;C&gt;1&lt;/C&gt;&lt;D xsi:type="xsd:long"&gt;46022&lt;/D&gt;&lt;/FQL&gt;&lt;FQL&gt;&lt;Q&gt;INTC^FE_ESTIMATE(EPS,MEAN,QTR_ROLL,-0,0,,,'')&lt;/Q&gt;&lt;R&gt;1&lt;/R&gt;&lt;C&gt;1&lt;/C&gt;&lt;D xsi:type="xsd:double"&gt;0.15&lt;/D&gt;&lt;/FQL&gt;&lt;FQL&gt;&lt;Q&gt;IDXX^FE_ESTIMATE(EPS,MEAN,QTR_ROLL,-0,0,,,'')&lt;/Q&gt;&lt;R&gt;1&lt;/R&gt;&lt;C&gt;1&lt;/C&gt;&lt;D xsi:type="xsd:double"&gt;3.08&lt;/D&gt;&lt;/FQL&gt;&lt;FQL&gt;&lt;Q&gt;HUM^FF_EPS(QTR_R,0)&lt;/Q&gt;&lt;R&gt;1&lt;/R&gt;&lt;C&gt;1&lt;/C&gt;&lt;D xsi:type="xsd:double"&gt;-6.6146&lt;/D&gt;&lt;/FQL&gt;&lt;FQL&gt;&lt;Q&gt;HSIC^JULIAN(FF_EPS(QTR_R,0).DATES)&lt;/Q&gt;&lt;R&gt;1&lt;/R&gt;&lt;C&gt;1&lt;/C&gt;&lt;D xsi:type="xsd:long"&gt;46022&lt;/D&gt;&lt;/FQL&gt;&lt;FQL&gt;&lt;Q&gt;HOLX^JULIAN(FF_EPS(QTR_R,0).DATES)&lt;/Q&gt;&lt;R&gt;1&lt;/R&gt;&lt;C&gt;1&lt;/C&gt;&lt;D xsi:type="xsd:long"&gt;46022&lt;/D&gt;&lt;/FQL&gt;&lt;FQL&gt;&lt;Q&gt;HAL^FE_ESTIMATE(EPS,MEAN,QTR_ROLL,-0,0,,,'')&lt;/Q&gt;&lt;R&gt;1&lt;/R&gt;&lt;C&gt;1&lt;/C&gt;&lt;D xsi:type="xsd:double"&gt;0.69&lt;/D&gt;&lt;/FQL&gt;&lt;FQL&gt;&lt;Q&gt;GNRC^JULIAN(FF_EPS(QTR_R,0).DATES)&lt;/Q&gt;&lt;R&gt;1&lt;/R&gt;&lt;C&gt;1&lt;/C&gt;&lt;D xsi:type="xsd:long"&gt;46022&lt;/D&gt;&lt;/FQL&gt;&lt;FQL&gt;&lt;Q&gt;GILD^JULIAN(FF_EPS(QTR_R,0).DATES)&lt;/Q&gt;&lt;R&gt;1&lt;/R&gt;&lt;C&gt;1&lt;/C&gt;&lt;D xsi:type="xsd:long"&gt;46022&lt;/D&gt;&lt;/FQL&gt;&lt;FQL&gt;&lt;Q&gt;GDDY^FE_ESTIMATE(EPS,MEAN,QTR_ROLL,-0,0,,,'')&lt;/Q&gt;&lt;R&gt;1&lt;/R&gt;&lt;C&gt;1&lt;/C&gt;&lt;D xsi:type="xsd:double"&gt;1.8&lt;/D&gt;&lt;/FQL&gt;&lt;FQL&gt;&lt;Q&gt;FSLR^FF_EPS(QTR_R,0)&lt;/Q&gt;&lt;R&gt;1&lt;/R&gt;&lt;C&gt;1&lt;/C&gt;&lt;D xsi:type="xsd:double"&gt;4.8384&lt;/D&gt;&lt;/FQL&gt;&lt;FQL&gt;&lt;Q&gt;FLT^FE_ESTIMATE(EPS,MEAN,QTR_ROLL,-0,0,,,'')&lt;/Q&gt;&lt;R&gt;1&lt;/R&gt;&lt;C&gt;1&lt;/C&gt;&lt;D xsi:type="xsd:double"&gt;6.04&lt;/D&gt;&lt;/FQL&gt;&lt;FQL&gt;&lt;Q&gt;FI^FE_ESTIMATE(EPS,MEAN,QTR_ROLL,-0,0,,,'')&lt;/Q&gt;&lt;R&gt;1&lt;/R&gt;&lt;C&gt;1&lt;/C&gt;&lt;D xsi:type="xsd:double"&gt;1.99&lt;/D&gt;&lt;/FQL&gt;&lt;FQL&gt;&lt;Q&gt;F^FE_ESTIMATE(EPS,MEAN,QTR_ROLL,-0,0,,,'')&lt;/Q&gt;&lt;R&gt;1&lt;/R&gt;&lt;C&gt;1&lt;/C&gt;&lt;D xsi:type="xsd:double"&gt;0.13&lt;/D&gt;&lt;/FQL&gt;&lt;FQL&gt;&lt;Q&gt;EQR^FE_ESTIMATE(EPS,MEAN,QTR_ROLL,-0,0,,,'')&lt;/Q&gt;&lt;R&gt;1&lt;/R&gt;&lt;C&gt;1&lt;/C&gt;&lt;D xsi:type="xsd:double"&gt;1&lt;/D&gt;&lt;/FQL&gt;&lt;FQL&gt;&lt;Q&gt;EOG^JULIAN(FF_EPS(QTR_R,0).DATES)&lt;/Q&gt;&lt;R&gt;1&lt;/R&gt;&lt;C&gt;1&lt;/C&gt;&lt;D xsi:type="xsd:long"&gt;46022&lt;/D&gt;&lt;/FQL&gt;&lt;FQL&gt;&lt;Q&gt;EL^JULIAN(FF_EPS(QTR_R,0).DATES)&lt;/Q&gt;&lt;R&gt;1&lt;/R&gt;&lt;C&gt;1&lt;/C&gt;&lt;D xsi:type="xsd:long"&gt;46022&lt;/D&gt;&lt;/FQL&gt;&lt;FQL&gt;&lt;Q&gt;WRB^FF_EPS(QTR_R,0)&lt;/Q&gt;&lt;R&gt;1&lt;/R&gt;&lt;C&gt;1&lt;/C&gt;&lt;D xsi:type="xsd:double"&gt;1.1262&lt;/D&gt;&lt;/FQL&gt;&lt;FQL&gt;&lt;Q&gt;VRTX^JULIAN(FF_EPS(QTR_R,0).DATES)&lt;/Q&gt;&lt;R&gt;1&lt;/R&gt;&lt;C&gt;1&lt;/C&gt;&lt;D xsi:type="xsd:long"&gt;46022&lt;/D&gt;&lt;/FQL&gt;&lt;FQL&gt;&lt;Q&gt;TEL^FE_ESTIMATE(EPS,MEAN,QTR_ROLL,-0,0,,,'')&lt;/Q&gt;&lt;R&gt;1&lt;/R&gt;&lt;C&gt;1&lt;/C&gt;&lt;D xsi:type="xsd:double"&gt;2.72&lt;/D&gt;&lt;/FQL&gt;&lt;FQL&gt;&lt;Q&gt;SYK^FE_ESTIMATE(EPS,MEAN,QTR_ROLL,-0,0,,,'')&lt;/Q&gt;&lt;R&gt;1&lt;/R&gt;&lt;C&gt;1&lt;/C&gt;&lt;D xsi:type="xsd:double"&gt;4.47&lt;/D&gt;&lt;/FQL&gt;&lt;FQL&gt;&lt;Q&gt;SO^JULIAN(FF_EPS(QTR_R,0).DATES)&lt;/Q&gt;&lt;R&gt;1&lt;/R&gt;&lt;C&gt;1&lt;/C&gt;&lt;D xsi:type="xsd:long"&gt;46022&lt;/D&gt;&lt;/FQL&gt;&lt;FQL&gt;&lt;Q&gt;SCHW^FE_ESTIMATE(EPS,MEAN,QTR_ROLL,-0,0,,,'')&lt;/Q&gt;&lt;R&gt;1&lt;/R&gt;&lt;C&gt;1&lt;/C&gt;&lt;D xsi:type="xsd:double"&gt;1.39&lt;/D&gt;&lt;/FQL&gt;&lt;FQL&gt;&lt;Q&gt;QRVO^JULIAN(FF_EPS(QTR_R,0).DATES)&lt;/Q&gt;&lt;R&gt;1&lt;/R&gt;&lt;C&gt;1&lt;/C&gt;&lt;D xsi:type="xsd:long"&gt;46022&lt;/D&gt;&lt;/FQL&gt;&lt;FQL&gt;&lt;Q&gt;PODD^FE_ESTIMATE(EPS,MEAN,QTR_ROLL,-0,0,,,'')&lt;/Q&gt;&lt;R&gt;1&lt;/R&gt;&lt;C&gt;1&lt;/C&gt;&lt;D xsi:type="xsd:double"&gt;1.55&lt;/D&gt;&lt;/FQL&gt;&lt;FQL&gt;&lt;Q&gt;PLTR^JULIAN(FF_EPS(QTR_R,0).DATES)&lt;/Q&gt;&lt;R&gt;1&lt;/R&gt;&lt;C&gt;1&lt;/C&gt;&lt;D xsi:type="xsd:long"&gt;46022&lt;/D&gt;&lt;/FQL&gt;&lt;FQL&gt;&lt;Q&gt;PFG^FE_ESTIMATE(EPS,MEAN,QTR_ROLL,-0,0,,,'')&lt;/Q&gt;&lt;R&gt;1&lt;/R&gt;&lt;C&gt;1&lt;/C&gt;&lt;D xsi:type="xsd:double"&gt;2.19&lt;/D&gt;&lt;/FQL&gt;&lt;FQL&gt;&lt;Q&gt;PCAR^FE_ESTIMATE(EPS,MEAN,QTR_ROLL,-0,0,,,'')&lt;/Q&gt;&lt;R&gt;1&lt;/R&gt;&lt;C&gt;1&lt;/C&gt;&lt;D xsi:type="xsd:double"&gt;1.06&lt;/D&gt;&lt;/FQL&gt;&lt;FQL&gt;&lt;Q&gt;OTIS^JULIAN(FF_EPS(QTR_R,0).DATES)&lt;/Q&gt;&lt;R&gt;1&lt;/R&gt;&lt;C&gt;1&lt;/C&gt;&lt;D xsi:type="xsd:long"&gt;46022&lt;/D&gt;&lt;/FQL&gt;&lt;FQL&gt;&lt;Q&gt;NVR^FF_EPS(QTR_R,0)&lt;/Q&gt;&lt;R&gt;1&lt;/R&gt;&lt;C&gt;1&lt;/C&gt;&lt;D xsi:type="xsd:double"&gt;121.5553&lt;/D&gt;&lt;/FQL&gt;&lt;FQL&gt;&lt;Q&gt;NRG^FF_EPS(QTR_R,0)&lt;/Q&gt;&lt;R&gt;1&lt;/R&gt;&lt;C&gt;1&lt;/C&gt;&lt;D xsi:type="xsd:double"&gt;0.2626&lt;/D</t>
        </r>
      </text>
    </comment>
    <comment ref="A4" authorId="0" shapeId="0" xr:uid="{E4157008-1B5E-43B1-9663-2041C9CEDE8F}">
      <text>
        <r>
          <rPr>
            <b/>
            <sz val="9"/>
            <color indexed="81"/>
            <rFont val="Tahoma"/>
            <charset val="1"/>
          </rPr>
          <t>&gt;&lt;/FQL&gt;&lt;FQL&gt;&lt;Q&gt;MU^FF_EPS(QTR_R,0)&lt;/Q&gt;&lt;R&gt;1&lt;/R&gt;&lt;C&gt;1&lt;/C&gt;&lt;D xsi:type="xsd:double"&gt;12.0709&lt;/D&gt;&lt;/FQL&gt;&lt;FQL&gt;&lt;Q&gt;MSCI^FE_ESTIMATE(EPS,MEAN,QTR_ROLL,-0,0,,,'')&lt;/Q&gt;&lt;R&gt;1&lt;/R&gt;&lt;C&gt;1&lt;/C&gt;&lt;D xsi:type="xsd:double"&gt;4.66&lt;/D&gt;&lt;/FQL&gt;&lt;FQL&gt;&lt;Q&gt;MDLZ^FF_EPS(QTR_R,0)&lt;/Q&gt;&lt;R&gt;1&lt;/R&gt;&lt;C&gt;1&lt;/C&gt;&lt;D xsi:type="xsd:double"&gt;0.5147&lt;/D&gt;&lt;/FQL&gt;&lt;FQL&gt;&lt;Q&gt;MAS^FE_ESTIMATE(EPS,MEAN,QTR_ROLL,-0,0,,,'')&lt;/Q&gt;&lt;R&gt;1&lt;/R&gt;&lt;C&gt;1&lt;/C&gt;&lt;D xsi:type="xsd:double"&gt;0.82&lt;/D&gt;&lt;/FQL&gt;&lt;FQL&gt;&lt;Q&gt;LYB^FE_ESTIMATE(EPS,MEAN,QTR_ROLL,-0,0,,,'')&lt;/Q&gt;&lt;R&gt;1&lt;/R&gt;&lt;C&gt;1&lt;/C&gt;&lt;D xsi:type="xsd:double"&gt;-0.26&lt;/D&gt;&lt;/FQL&gt;&lt;FQL&gt;&lt;Q&gt;L^FE_ESTIMATE(EPS,MEAN,QTR_ROLL,-0,0,,,'')&lt;/Q&gt;&lt;R&gt;1&lt;/R&gt;&lt;C&gt;1&lt;/C&gt;&lt;D xsi:type="xsd:double"&gt;2.138259&lt;/D&gt;&lt;/FQL&gt;&lt;FQL&gt;&lt;Q&gt;JPM^JULIAN(FF_EPS(QTR_R,0).DATES)&lt;/Q&gt;&lt;R&gt;1&lt;/R&gt;&lt;C&gt;1&lt;/C&gt;&lt;D xsi:type="xsd:long"&gt;46022&lt;/D&gt;&lt;/FQL&gt;&lt;FQL&gt;&lt;Q&gt;IPG^FE_ESTIMATE(EPS,MEAN,QTR_ROLL,-0,0,,,'')&lt;/Q&gt;&lt;R&gt;1&lt;/R&gt;&lt;C&gt;1&lt;/C&gt;&lt;D xsi:type="xsd:double"&gt;0.75&lt;/D&gt;&lt;/FQL&gt;&lt;FQL&gt;&lt;Q&gt;GPN^JULIAN(FF_EPS(QTR_R,0).DATES)&lt;/Q&gt;&lt;R&gt;1&lt;/R&gt;&lt;C&gt;1&lt;/C&gt;&lt;D xsi:type="xsd:long"&gt;46022&lt;/D&gt;&lt;/FQL&gt;&lt;FQL&gt;&lt;Q&gt;GM^FF_EPS(QTR_R,0)&lt;/Q&gt;&lt;R&gt;1&lt;/R&gt;&lt;C&gt;1&lt;/C&gt;&lt;D xsi:type="xsd:double"&gt;-3.6&lt;/D&gt;&lt;/FQL&gt;&lt;FQL&gt;&lt;Q&gt;EXC^FE_ESTIMATE(EPS,MEAN,QTR_ROLL,-0,0,,,'')&lt;/Q&gt;&lt;R&gt;1&lt;/R&gt;&lt;C&gt;1&lt;/C&gt;&lt;D xsi:type="xsd:double"&gt;0.59&lt;/D&gt;&lt;/FQL&gt;&lt;FQL&gt;&lt;Q&gt;ETN^FE_ESTIMATE(EPS,MEAN,QTR_ROLL,-0,0,,,'')&lt;/Q&gt;&lt;R&gt;1&lt;/R&gt;&lt;C&gt;1&lt;/C&gt;&lt;D xsi:type="xsd:double"&gt;3.33&lt;/D&gt;&lt;/FQL&gt;&lt;FQL&gt;&lt;Q&gt;ENPH^FE_ESTIMATE(EPS,MEAN,QTR_ROLL,-0,0,,,'')&lt;/Q&gt;&lt;R&gt;1&lt;/R&gt;&lt;C&gt;1&lt;/C&gt;&lt;D xsi:type="xsd:double"&gt;0.71&lt;/D&gt;&lt;/FQL&gt;&lt;FQL&gt;&lt;Q&gt;DVA^FE_ESTIMATE(EPS,MEAN,QTR_ROLL,-0,0,,,'')&lt;/Q&gt;&lt;R&gt;1&lt;/R&gt;&lt;C&gt;1&lt;/C&gt;&lt;D xsi:type="xsd:double"&gt;3.4&lt;/D&gt;&lt;/FQL&gt;&lt;FQL&gt;&lt;Q&gt;DRI^JULIAN(FF_EPS(QTR_R,0).DATES)&lt;/Q&gt;&lt;R&gt;1&lt;/R&gt;&lt;C&gt;1&lt;/C&gt;&lt;D xsi:type="xsd:long"&gt;46080&lt;/D&gt;&lt;/FQL&gt;&lt;FQL&gt;&lt;Q&gt;DIS^FE_ESTIMATE(EPS,MEAN,QTR_ROLL,-0,0,,,'')&lt;/Q&gt;&lt;R&gt;1&lt;/R&gt;&lt;C&gt;1&lt;/C&gt;&lt;D xsi:type="xsd:double"&gt;1.63&lt;/D&gt;&lt;/FQL&gt;&lt;FQL&gt;&lt;Q&gt;DG^FE_ESTIMATE(EPS,MEAN,QTR_ROLL,-0,0,,,'')&lt;/Q&gt;&lt;R&gt;1&lt;/R&gt;&lt;C&gt;1&lt;/C&gt;&lt;D xsi:type="xsd:double"&gt;1.93&lt;/D&gt;&lt;/FQL&gt;&lt;FQL&gt;&lt;Q&gt;DE^JULIAN(FF_EPS(QTR_R,0).DATES)&lt;/Q&gt;&lt;R&gt;1&lt;/R&gt;&lt;C&gt;1&lt;/C&gt;&lt;D xsi:type="xsd:long"&gt;46052&lt;/D&gt;&lt;/FQL&gt;&lt;FQL&gt;&lt;Q&gt;D^FF_EPS(QTR_R,0)&lt;/Q&gt;&lt;R&gt;1&lt;/R&gt;&lt;C&gt;1&lt;/C&gt;&lt;D xsi:type="xsd:double"&gt;0.6462&lt;/D&gt;&lt;/FQL&gt;&lt;FQL&gt;&lt;Q&gt;CTVA^JULIAN(FF_EPS(QTR_R,0).DATES)&lt;/Q&gt;&lt;R&gt;1&lt;/R&gt;&lt;C&gt;1&lt;/C&gt;&lt;D xsi:type="xsd:long"&gt;46022&lt;/D&gt;&lt;/FQL&gt;&lt;FQL&gt;&lt;Q&gt;CTAS^FF_EPS(QTR_R,0)&lt;/Q&gt;&lt;R&gt;1&lt;/R&gt;&lt;C&gt;1&lt;/C&gt;&lt;D xsi:type="xsd:double"&gt;1.2416&lt;/D&gt;&lt;/FQL&gt;&lt;FQL&gt;&lt;Q&gt;CPT^JULIAN(FF_EPS(QTR_R,0).DATES)&lt;/Q&gt;&lt;R&gt;1&lt;/R&gt;&lt;C&gt;1&lt;/C&gt;&lt;D xsi:type="xsd:long"&gt;46022&lt;/D&gt;&lt;/FQL&gt;&lt;FQL&gt;&lt;Q&gt;COO^JULIAN(FF_EPS(QTR_R,0).DATES)&lt;/Q&gt;&lt;R&gt;1&lt;/R&gt;&lt;C&gt;1&lt;/C&gt;&lt;D xsi:type="xsd:long"&gt;46052&lt;/D&gt;&lt;/FQL&gt;&lt;FQL&gt;&lt;Q&gt;CMS^FE_ESTIMATE(EPS,MEAN,QTR_ROLL,-0,0,,,'')&lt;/Q&gt;&lt;R&gt;1&lt;/R&gt;&lt;C&gt;1&lt;/C&gt;&lt;D xsi:type="xsd:double"&gt;0.95&lt;/D&gt;&lt;/FQL&gt;&lt;FQL&gt;&lt;Q&gt;CLX^JULIAN(FF_EPS(QTR_R,0).DATES)&lt;/Q&gt;&lt;R&gt;1&lt;/R&gt;&lt;C&gt;1&lt;/C&gt;&lt;D xsi:type="xsd:long"&gt;46022&lt;/D&gt;&lt;/FQL&gt;&lt;FQL&gt;&lt;Q&gt;CHTR^FE_ESTIMATE(EPS,MEAN,QTR_ROLL,-0,0,,,'')&lt;/Q&gt;&lt;R&gt;1&lt;/R&gt;&lt;C&gt;1&lt;/C&gt;&lt;D xsi:type="xsd:double"&gt;10.34&lt;/D&gt;&lt;/FQL&gt;&lt;FQL&gt;&lt;Q&gt;CE^FF_EPS(QTR_R,0)&lt;/Q&gt;&lt;R&gt;1&lt;/R&gt;&lt;C&gt;1&lt;/C&gt;&lt;D xsi:type="xsd:double"&gt;0.173&lt;/D&gt;&lt;/FQL&gt;&lt;FQL&gt;&lt;Q&gt;CBRE^JULIAN(FF_EPS(QTR_R,0).DATES)&lt;/Q&gt;&lt;R&gt;1&lt;/R&gt;&lt;C&gt;1&lt;/C&gt;&lt;D xsi:type="xsd:long"&gt;46022&lt;/D&gt;&lt;/FQL&gt;&lt;FQL&gt;&lt;Q&gt;C^FF_EPS(QTR_R,0)&lt;/Q&gt;&lt;R&gt;1&lt;/R&gt;&lt;C&gt;1&lt;/C&gt;&lt;D xsi:type="xsd:double"&gt;1.1938&lt;/D&gt;&lt;/FQL&gt;&lt;FQL&gt;&lt;Q&gt;BWA^JULIAN(FF_EPS(QTR_R,0).DATES)&lt;/Q&gt;&lt;R&gt;1&lt;/R&gt;&lt;C&gt;1&lt;/C&gt;&lt;D xsi:type="xsd:long"&gt;46022&lt;/D&gt;&lt;/FQL&gt;&lt;FQL&gt;&lt;Q&gt;BK^FF_EPS(QTR_R,0)&lt;/Q&gt;&lt;R&gt;1&lt;/R&gt;&lt;C&gt;1&lt;/C&gt;&lt;D xsi:type="xsd:double"&gt;2.0237&lt;/D&gt;&lt;/FQL&gt;&lt;FQL&gt;&lt;Q&gt;BAC^FE_ESTIMATE(EPS,MEAN,QTR_ROLL,-0,0,,,'')&lt;/Q&gt;&lt;R&gt;1&lt;/R&gt;&lt;C&gt;1&lt;/C&gt;&lt;D xsi:type="xsd:double"&gt;0.98&lt;/D&gt;&lt;/FQL&gt;&lt;FQL&gt;&lt;Q&gt;AXP^FF_EPS(QTR_R,0)&lt;/Q&gt;&lt;R&gt;1&lt;/R&gt;&lt;C&gt;1&lt;/C&gt;&lt;D xsi:type="xsd:double"&gt;3.5305&lt;/D&gt;&lt;/FQL&gt;&lt;FQL&gt;&lt;Q&gt;ATO^JULIAN(FF_EPS(QTR_R,0).DATES)&lt;/Q&gt;&lt;R&gt;1&lt;/R&gt;&lt;C&gt;1&lt;/C&gt;&lt;D xsi:type="xsd:long"&gt;46022&lt;/D&gt;&lt;/FQL&gt;&lt;FQL&gt;&lt;Q&gt;AON^FE_ESTIMATE(EPS,MEAN,QTR_ROLL,-0,0,,,'')&lt;/Q&gt;&lt;R&gt;1&lt;/R&gt;&lt;C&gt;1&lt;/C&gt;&lt;D xsi:type="xsd:double"&gt;4.85&lt;/D&gt;&lt;/FQL&gt;&lt;FQL&gt;&lt;Q&gt;AMGN^JULIAN(FF_EPS(QTR_R,0).DATES)&lt;/Q&gt;&lt;R&gt;1&lt;/R&gt;&lt;C&gt;1&lt;/C&gt;&lt;D xsi:type="xsd:long"&gt;46022&lt;/D&gt;&lt;/FQL&gt;&lt;FQL&gt;&lt;Q&gt;AFL^JULIAN(FF_EPS(QTR_R,0).DATES)&lt;/Q&gt;&lt;R&gt;1&lt;/R&gt;&lt;C&gt;1&lt;/C&gt;&lt;D xsi:type="xsd:long"&gt;46022&lt;/D&gt;&lt;/FQL&gt;&lt;FQL&gt;&lt;Q&gt;ACGL^FF_EPS(QTR_R,0)&lt;/Q&gt;&lt;R&gt;1&lt;/R&gt;&lt;C&gt;1&lt;/C&gt;&lt;D xsi:type="xsd:double"&gt;3.3497&lt;/D&gt;&lt;/FQL&gt;&lt;FQL&gt;&lt;Q&gt;ABBV^JULIAN(FF_EPS(QTR_R,0).DATES)&lt;/Q&gt;&lt;R&gt;1&lt;/R&gt;&lt;C&gt;1&lt;/C&gt;&lt;D xsi:type="xsd:long"&gt;46022&lt;/D&gt;&lt;/FQL&gt;&lt;FQL&gt;&lt;Q&gt;WRB^FG_COMPANY_NAME&lt;/Q&gt;&lt;R&gt;1&lt;/R&gt;&lt;C&gt;1&lt;/C&gt;&lt;D xsi:type="xsd:string"&gt;W. R. Berkley Corporation&lt;/D&gt;&lt;/FQL&gt;&lt;FQL&gt;&lt;Q&gt;VMC^FG_COMPANY_NAME&lt;/Q&gt;&lt;R&gt;1&lt;/R&gt;&lt;C&gt;1&lt;/C&gt;&lt;D xsi:type="xsd:string"&gt;Vulcan Materials Company&lt;/D&gt;&lt;/FQL&gt;&lt;FQL&gt;&lt;Q&gt;ULTA^FG_COMPANY_NAME&lt;/Q&gt;&lt;R&gt;1&lt;/R&gt;&lt;C&gt;1&lt;/C&gt;&lt;D xsi:type="xsd:string"&gt;Ulta Beauty Inc.&lt;/D&gt;&lt;/FQL&gt;&lt;FQL&gt;&lt;Q&gt;TSN^FG_COMPANY_NAME&lt;/Q&gt;&lt;R&gt;1&lt;/R&gt;&lt;C&gt;1&lt;/C&gt;&lt;D xsi:type="xsd:string"&gt;Tyson Foods, Inc. Class A&lt;/D&gt;&lt;/FQL&gt;&lt;FQL&gt;&lt;Q&gt;TAP^FG_COMPANY_NAME&lt;/Q&gt;&lt;R&gt;1&lt;/R&gt;&lt;C&gt;1&lt;/C&gt;&lt;D xsi:type="xsd:string"&gt;Molson Coors Beverage Company Class B&lt;/D&gt;&lt;/FQL&gt;&lt;FQL&gt;&lt;Q&gt;SJM^FG_COMPANY_NAME&lt;/Q&gt;&lt;R&gt;1&lt;/R&gt;&lt;C&gt;1&lt;/C&gt;&lt;D xsi:type="xsd:string"&gt;J.M. Smucker Company&lt;/D&gt;&lt;/FQL&gt;&lt;FQL&gt;&lt;Q&gt;PSX^FG_COMPANY_NAME&lt;/Q&gt;&lt;R&gt;1&lt;/R&gt;&lt;C&gt;1&lt;/C&gt;&lt;D xsi:type="xsd:string"&gt;Phillips 66&lt;/D&gt;&lt;/FQL&gt;&lt;FQL&gt;&lt;Q&gt;PNC^FG_COMPANY_NAME&lt;/Q&gt;&lt;R&gt;1&lt;/R&gt;&lt;C&gt;1&lt;/C&gt;&lt;D xsi:type="xsd:string"&gt;PNC Financial Services Group, Inc.&lt;/D&gt;&lt;/FQL&gt;&lt;FQL&gt;&lt;Q&gt;PFG^FG_COMPANY_NAME&lt;/Q&gt;&lt;R&gt;1&lt;/R&gt;&lt;C&gt;1&lt;/C&gt;&lt;D xsi:type="xsd:string"&gt;Principal Financial Group, Inc.&lt;/D&gt;&lt;/FQL&gt;&lt;FQL&gt;&lt;Q&gt;PARA^FG_COMPANY_NAME&lt;/Q&gt;&lt;R&gt;1&lt;/R&gt;&lt;C&gt;1&lt;/C&gt;&lt;D xsi:type="xsd:string"&gt;Paramount Skydance Corporation Class B&lt;/D&gt;&lt;/FQL&gt;&lt;FQL&gt;&lt;Q&gt;O^FG_COMPANY_NAME&lt;/Q&gt;&lt;R&gt;1&lt;/R&gt;&lt;C&gt;1&lt;/C&gt;&lt;D xsi:type="xsd:string"&gt;Realty Income Corporation&lt;/D&gt;&lt;/FQL&gt;&lt;FQL&gt;&lt;Q&gt;NSC^FG_COMPANY_NAME&lt;/Q&gt;&lt;R&gt;1&lt;/R&gt;&lt;C&gt;1&lt;/C&gt;&lt;D xsi:type="xsd:string"&gt;Norfolk Southern Corporation&lt;/D&gt;&lt;/FQL&gt;&lt;FQL&gt;&lt;Q&gt;NDSN^FG_COMPANY_NAME&lt;/Q&gt;&lt;R&gt;1&lt;/R&gt;&lt;C&gt;1&lt;/C&gt;&lt;D xsi:type="xsd:string"&gt;Nordson Corporation&lt;/D&gt;&lt;/FQL&gt;&lt;FQL&gt;&lt;Q&gt;LOW^FG_COMPANY_NAME&lt;/Q&gt;&lt;R&gt;1&lt;/R&gt;&lt;C&gt;1&lt;/C&gt;&lt;D xsi:type="xsd:string"&gt;Lowe's Companies, Inc.&lt;/D&gt;&lt;/FQL&gt;&lt;FQL&gt;&lt;Q&gt;LDOS^FG_COMPANY_NAME&lt;/Q&gt;&lt;R&gt;1&lt;/R&gt;&lt;C&gt;1&lt;/C&gt;&lt;D xsi:type="xsd:string"&gt;Leidos Holdings, Inc.&lt;/D&gt;&lt;/FQL&gt;&lt;FQL&gt;&lt;Q&gt;KIM^FG_COMPANY_NAME&lt;/Q&gt;&lt;R&gt;1&lt;/R&gt;&lt;C&gt;1&lt;/C&gt;&lt;D xsi:type="xsd:string"&gt;Kimco Realty Corporation&lt;/D&gt;&lt;/FQL&gt;&lt;FQL&gt;&lt;Q&gt;FDX^FG_COMPANY_NAME&lt;/Q&gt;&lt;R&gt;1&lt;/R&gt;&lt;C&gt;1&lt;/C&gt;&lt;D xsi:type="xsd:string"&gt;FedEx Corporation&lt;/D&gt;&lt;/FQL&gt;&lt;FQL&gt;&lt;Q&gt;EXPD^FG_COMPANY_NAME&lt;/Q&gt;&lt;R&gt;1&lt;/R&gt;&lt;C&gt;1&lt;/C&gt;&lt;D xsi:type="xsd:string"&gt;Expeditors International of Washington, Inc.&lt;/D&gt;&lt;/FQL&gt;&lt;FQL&gt;&lt;Q&gt;EQR^FG_COMPANY_NAME&lt;/Q&gt;&lt;R&gt;1&lt;/R&gt;&lt;C&gt;1&lt;/C&gt;&lt;D xsi:type="xsd:string"&gt;Equity Residential&lt;/D&gt;&lt;/FQL&gt;&lt;FQL&gt;&lt;Q&gt;EFX^FG_COMPANY_NAME&lt;/Q&gt;&lt;R&gt;1&lt;/R&gt;&lt;C&gt;1&lt;/C&gt;&lt;D xsi:type="xsd:string"&gt;Equifax Inc.&lt;/D&gt;&lt;/FQL&gt;&lt;FQL&gt;&lt;Q&gt;CSCO^FG_COMPANY_NAME&lt;/Q&gt;&lt;R&gt;1&lt;/R&gt;&lt;C&gt;1&lt;/C&gt;&lt;D xsi:type="xsd:string"&gt;Cisco Systems, Inc.&lt;/D&gt;&lt;/FQL&gt;&lt;FQL&gt;&lt;Q&gt;COR^FG_COMPANY_NAME&lt;/Q&gt;&lt;R&gt;1&lt;/R&gt;&lt;C&gt;1&lt;/C&gt;&lt;D xsi:type="xsd:string"&gt;Cencora, Inc.&lt;/D&gt;&lt;/FQL&gt;&lt;FQL&gt;&lt;Q&gt;CME^FG_COMPANY_NAME&lt;/Q&gt;&lt;R&gt;1&lt;/R&gt;&lt;C&gt;1&lt;/C&gt;&lt;D xsi:type="xsd:string"&gt;CME Group Inc. Class A&lt;/D&gt;&lt;/FQL&gt;&lt;FQL&gt;&lt;Q&gt;CHD^FG_COMPANY_NAME&lt;/Q&gt;&lt;R&gt;1&lt;/R&gt;&lt;C&gt;1&lt;/C&gt;&lt;D xsi:type="xsd:string"&gt;Church &amp;amp; Dwight Co., Inc.&lt;/D&gt;&lt;/FQL&gt;&lt;FQL&gt;&lt;Q&gt;CCI^FG_COMPANY_NAME&lt;/Q&gt;&lt;R&gt;1&lt;/R&gt;&lt;C&gt;1&lt;/C&gt;&lt;D xsi:type="xsd:string"&gt;Crown Castle Inc.&lt;/D&gt;&lt;/FQL&gt;&lt;FQL&gt;&lt;Q&gt;BLK^FG_COMPANY_NAME&lt;/Q&gt;&lt;R&gt;1&lt;/R&gt;&lt;C&gt;1&lt;/C&gt;&lt;D xsi:type="xsd:string"&gt;BlackRock, Inc.&lt;/D&gt;&lt;/FQL&gt;&lt;FQL&gt;&lt;Q&gt;AXP^FG_COMPANY_NAME&lt;/Q&gt;&lt;R&gt;1&lt;/R&gt;&lt;C&gt;1&lt;/C&gt;&lt;D xsi:type="xsd:string"&gt;American Express Company&lt;/D&gt;&lt;/FQL&gt;&lt;FQL&gt;&lt;Q&gt;AMT^FG_COMPANY_NAME&lt;/Q&gt;&lt;R&gt;1&lt;/R&gt;&lt;C&gt;1&lt;/C&gt;&lt;D xsi:type="xsd:string"&gt;American Tower Corporation&lt;/D&gt;&lt;/FQL&gt;&lt;FQL&gt;&lt;Q&gt;ABT^FG_COMPANY_NAME&lt;/Q&gt;&lt;R&gt;1&lt;/R&gt;&lt;C&gt;1&lt;/C&gt;&lt;D xsi:type="xsd:string"&gt;Abbott Laboratories&lt;/D&gt;&lt;/FQL&gt;&lt;FQL&gt;&lt;Q&gt;AMZN^JULIAN(FF_EPS(QTR_R,0).DATES)&lt;/Q&gt;&lt;R&gt;1&lt;/R&gt;&lt;C&gt;1&lt;/C&gt;&lt;D xsi:type="xsd:long"&gt;46022&lt;/D&gt;&lt;/FQL&gt;&lt;FQL&gt;&lt;Q&gt;ALGN^FF_EPS(QTR_R,0)&lt;/Q&gt;&lt;R&gt;1&lt;/R&gt;&lt;C&gt;1&lt;/C&gt;&lt;D xsi:type="xsd:double"&gt;1.8919&lt;/D&gt;&lt;/FQL&gt;&lt;FQL&gt;&lt;Q&gt;AJG^JULIAN(FF_EPS(QTR_R,0).DATES)&lt;/Q&gt;&lt;R&gt;1&lt;/R&gt;&lt;C&gt;1&lt;/C&gt;&lt;D xsi:type="xsd:long"&gt;46022&lt;/D&gt;&lt;/FQL&gt;&lt;FQL&gt;&lt;Q&gt;ADSK^FE_ESTIMATE(EPS,MEAN,QTR_ROLL,-0,0,,,'')&lt;/Q&gt;&lt;R&gt;1&lt;/R&gt;&lt;C&gt;1&lt;/C&gt;&lt;D xsi:type="xsd:double"&gt;2.85&lt;/D&gt;&lt;/FQL&gt;&lt;FQL&gt;&lt;Q&gt;ADI^FF_EPS(QTR_R,0)&lt;/Q&gt;&lt;R&gt;1&lt;/R&gt;&lt;C&gt;1&lt;/C&gt;&lt;D xsi:type="xsd:double"&gt;1.6898&lt;/D&gt;&lt;/FQL&gt;&lt;FQL&gt;&lt;Q&gt;ACGL^JULIAN(FF_EPS(QTR_R,0).DATES)&lt;/Q&gt;&lt;R&gt;1&lt;/R&gt;&lt;C&gt;1&lt;/C&gt;&lt;D xsi:type="xsd:long"&gt;46022&lt;/D&gt;&lt;/FQL&gt;&lt;FQL&gt;&lt;Q&gt;ZBH^FG_COMPANY_NAME&lt;/Q&gt;&lt;R&gt;1&lt;/R&gt;&lt;C&gt;1&lt;/C&gt;&lt;D xsi:type="xsd:string"&gt;Zimmer Biomet Holdings, Inc.&lt;/D&gt;&lt;/FQL&gt;&lt;FQL&gt;&lt;Q&gt;VLTO^FG_COMPANY_NAME&lt;/Q&gt;&lt;R&gt;1&lt;/R&gt;&lt;C&gt;1&lt;/C&gt;&lt;D xsi:type="xsd:string"&gt;Veralto Corporation&lt;/D&gt;&lt;/FQL&gt;&lt;FQL&gt;&lt;Q&gt;TJX^FG_COMPANY_NAME&lt;/Q&gt;&lt;R&gt;1&lt;/R&gt;&lt;C&gt;1&lt;/C&gt;&lt;D xsi:type="xsd:string"&gt;TJX Companies Inc&lt;/D&gt;&lt;/FQL&gt;&lt;FQL&gt;&lt;Q&gt;T^FG_COMPANY_NAME&lt;/Q&gt;&lt;R&gt;1&lt;/R&gt;&lt;C&gt;1&lt;/C&gt;&lt;D xsi:type="xsd:string"&gt;AT&amp;amp;T Inc&lt;/D&gt;&lt;/FQL&gt;&lt;FQL&gt;&lt;Q&gt;STE^FG_COMPANY_NAME&lt;/Q&gt;&lt;R&gt;1&lt;/R&gt;&lt;C&gt;1&lt;/C&gt;&lt;D xsi:type="xsd:string"&gt;STERIS plc&lt;/D&gt;&lt;/FQL&gt;&lt;FQL&gt;&lt;Q&gt;YUM^JULIAN(FF_EPS(QTR_R,0).DATES)&lt;/Q&gt;&lt;R&gt;1&lt;/R&gt;&lt;C&gt;1&lt;/C&gt;&lt;D xsi:type="xsd:long"&gt;46022&lt;/D&gt;&lt;/FQL&gt;&lt;FQL&gt;&lt;Q&gt;WBD^FE_ESTIMATE(EPS,MEAN,QTR_ROLL,-0,0,,,'')&lt;/Q&gt;&lt;R&gt;1&lt;/R&gt;&lt;C&gt;1&lt;/C&gt;&lt;D xsi:type="xsd:double"&gt;-0.1&lt;/D&gt;&lt;/FQL&gt;&lt;FQL&gt;&lt;Q&gt;USB^JULIAN(FF_EPS(QTR_R,0).DATES)&lt;/Q&gt;&lt;R&gt;1&lt;/R&gt;&lt;C&gt;1&lt;/C&gt;&lt;D xsi:type="xsd:long"&gt;46022&lt;/D&gt;&lt;/FQL&gt;&lt;FQL&gt;&lt;Q&gt;UDR^FF_EPS(QTR_R,0)&lt;/Q&gt;&lt;R&gt;1&lt;/R&gt;&lt;C&gt;1&lt;/C&gt;&lt;D xsi:type="xsd:double"&gt;0.6665&lt;/D&gt;&lt;/FQL&gt;&lt;FQL&gt;&lt;Q&gt;TSN^JULIAN(FF_EPS(QTR_R,0).DATES)&lt;/Q&gt;&lt;R&gt;1&lt;/R&gt;&lt;C&gt;1&lt;/C&gt;&lt;D xsi:type="xsd:long"&gt;46022&lt;/D&gt;&lt;/FQL&gt;&lt;FQL&gt;&lt;Q&gt;TMUS^JULIAN(FF_EPS(QTR_R,0).DATES)&lt;/Q&gt;&lt;R&gt;1&lt;/R&gt;&lt;C&gt;1&lt;/C&gt;&lt;D xsi:type="xsd:long"&gt;46022&lt;/D&gt;&lt;/FQL&gt;&lt;FQL&gt;&lt;Q&gt;SYK^JULIAN(FF_EPS(QTR_R,0).DATES)&lt;/Q&gt;&lt;R&gt;1&lt;/R&gt;&lt;C&gt;1&lt;/C&gt;&lt;D xsi:type="xsd:long"&gt;46022&lt;/D&gt;&lt;/FQL&gt;&lt;FQL&gt;&lt;Q&gt;STLD^FF_EPS(QTR_R,0)&lt;/Q&gt;&lt;R&gt;1&lt;/R&gt;&lt;C&gt;1&lt;/C&gt;&lt;D xsi:type="xsd:double"&gt;1.819&lt;/D&gt;&lt;/FQL&gt;&lt;FQL&gt;&lt;Q&gt;SNPS^JULIAN(FF_EPS(QTR_R,0).DATES)&lt;/Q&gt;&lt;R&gt;1&lt;/R&gt;&lt;C&gt;1&lt;/C&gt;&lt;D xsi:type="xsd:long"&gt;46052&lt;/D&gt;&lt;/FQL&gt;&lt;FQL&gt;&lt;Q&gt;SCHW^FF_EPS(QTR_R,0)&lt;/Q&gt;&lt;R&gt;1&lt;/R&gt;&lt;C&gt;1&lt;/C&gt;&lt;D xsi:type="xsd:double"&gt;1.332&lt;/D&gt;&lt;/FQL&gt;&lt;FQL&gt;&lt;Q&gt;ROP^FE_ESTIMATE(EPS,MEAN,QTR_ROLL,-0,0,,,'')&lt;/Q&gt;&lt;R&gt;1&lt;/R&gt;&lt;C&gt;1&lt;/C&gt;&lt;D xsi:type="xsd:double"&gt;5.21&lt;/D&gt;&lt;/FQL&gt;&lt;FQL&gt;&lt;Q&gt;RF^FE_ESTIMATE(EPS,MEAN,QTR_ROLL,-0,0,,,'')&lt;/Q&gt;&lt;R&gt;1&lt;/R&gt;&lt;C&gt;1&lt;/C&gt;&lt;D xsi:type="xsd:double"&gt;0.57&lt;/D&gt;&lt;/FQL&gt;&lt;FQL&gt;&lt;Q&gt;QCOM^FE_ESTIMATE(EPS,MEAN,QTR_ROLL,-0,0,,,'')&lt;/Q&gt;&lt;R&gt;1&lt;/R&gt;&lt;C&gt;1&lt;/C&gt;&lt;D xsi:type="xsd:double"&gt;3.5&lt;/D&gt;&lt;/FQL&gt;&lt;FQL&gt;&lt;Q&gt;PSX^FE_ESTIMATE(EPS,MEAN,QTR_ROLL,-0,0,,,'')&lt;/Q&gt;&lt;R&gt;1&lt;/R&gt;&lt;C&gt;1&lt;/C&gt;&lt;D xsi:type="xsd:double"&gt;2.47&lt;/D&gt;&lt;/FQL&gt;&lt;FQL&gt;&lt;Q&gt;PODD^FF_EPS(QTR_R,0)&lt;/Q&gt;&lt;R&gt;1&lt;/R&gt;&lt;C&gt;1&lt;/C&gt;&lt;D xsi:type="xsd:double"&gt;1.4406&lt;/D&gt;&lt;/FQL&gt;&lt;FQL&gt;&lt;Q&gt;PFG^FF_EPS(QTR_R,0)&lt;/Q&gt;&lt;R&gt;1&lt;/R&gt;&lt;C&gt;1&lt;/C&gt;&lt;D xsi:type="xsd:double"&gt;2.3246&lt;/D&gt;&lt;/FQL&gt;&lt;FQL&gt;&lt;Q&gt;ODFL^FF_EPS(QTR_R,0)&lt;/Q&gt;&lt;R&gt;1&lt;/R&gt;&lt;C&gt;1&lt;/C&gt;&lt;D xsi:type="xsd:double"&gt;1.0933&lt;/D&gt;&lt;/FQL&gt;&lt;FQL&gt;&lt;Q&gt;NVDA^FF_EPS(QTR_R,0)&lt;/Q&gt;&lt;R&gt;1&lt;/R&gt;&lt;C&gt;1&lt;/C&gt;&lt;D xsi:type="xsd:double"&gt;1.7584&lt;/D&gt;&lt;/FQL&gt;&lt;FQL&gt;&lt;Q&gt;NRG^JULIAN(FF_EPS(QTR_R,0).DATES)&lt;/Q&gt;&lt;R&gt;1&lt;/R&gt;&lt;C&gt;1&lt;/C&gt;&lt;D xsi:type="xsd:long"&gt;46022&lt;/D&gt;&lt;/FQL&gt;&lt;FQL&gt;&lt;Q&gt;NFLX^JULIAN(FF_EPS(QTR_R,0).DATES)&lt;/Q&gt;&lt;R&gt;1&lt;/R&gt;&lt;C&gt;1&lt;/C&gt;&lt;D xsi:type="xsd:long"&gt;46022&lt;/D&gt;&lt;/FQL&gt;&lt;FQL&gt;&lt;Q&gt;MU^JULIAN(FF_EPS(QTR_R,0).DATES)&lt;/Q&gt;&lt;R&gt;1&lt;/R&gt;&lt;C&gt;1&lt;/C&gt;&lt;D xsi:type="xsd:long"&gt;46080&lt;/D&gt;&lt;/FQL&gt;&lt;FQL&gt;&lt;Q&gt;MSCI^FF_EPS(QTR_R,0)&lt;/Q&gt;&lt;R&gt;1&lt;/R&gt;&lt;C&gt;1&lt;/C&gt;&lt;D xsi:type="xsd:double"&gt;3.811&lt;/D&gt;&lt;/FQL&gt;&lt;FQL&gt;&lt;Q&gt;MMM^FE_ESTIMATE(EPS,MEAN,QTR_ROLL,-0,0,,,'')&lt;/Q&gt;&lt;R&gt;1&lt;/R&gt;&lt;C&gt;1&lt;/C&gt;&lt;D xsi:type="xsd:double"&gt;1.83&lt;/D&gt;&lt;/FQL&gt;&lt;FQL&gt;&lt;Q&gt;MHK^FE_ESTIMATE(EPS,MEAN,QTR_ROLL,-0,0,,,'')&lt;/Q&gt;&lt;R&gt;1&lt;/R&gt;&lt;C&gt;1&lt;/C&gt;&lt;D xsi:type="xsd:double"&gt;2&lt;/D&gt;&lt;/FQL&gt;&lt;FQL&gt;&lt;Q&gt;MDLZ^JULIAN(FF_EPS(QTR_R,0).DATES)&lt;/Q&gt;&lt;R&gt;1&lt;/R&gt;&lt;C&gt;1&lt;/C&gt;&lt;D xsi:type="xsd:long"&gt;46022&lt;/D&gt;&lt;/FQL&gt;&lt;FQL&gt;&lt;Q&gt;LW^FE_ESTIMATE(EPS,MEAN,QTR_ROLL,-0,0,,,'')&lt;/Q&gt;&lt;R&gt;1&lt;/R&gt;&lt;C&gt;1&lt;/C&gt;&lt;D xsi:type="xsd:double"&gt;0.69&lt;/D&gt;&lt;/FQL&gt;&lt;FQL&gt;&lt;Q&gt;LOW^FE_ESTIMATE(EPS,MEAN,QTR_ROLL,-0,0,,,'')&lt;/Q&gt;&lt;R&gt;1&lt;/R&gt;&lt;C&gt;1&lt;/C&gt;&lt;D xsi:type="xsd:double"&gt;1.98&lt;/D&gt;&lt;/FQL&gt;&lt;FQL&gt;&lt;Q&gt;LIN^FE_ESTIMATE(EPS,MEAN,QTR_ROLL,-0,0,,,'')&lt;/Q&gt;&lt;R&gt;1&lt;/R&gt;&lt;C&gt;1&lt;/C&gt;&lt;D xsi:type="xsd:double"&gt;4.200359&lt;/D&gt;&lt;/FQL&gt;&lt;FQL&gt;&lt;Q&gt;KMI^FE_ESTIMATE(EPS,MEAN,QTR_ROLL,-0,0,,,'')&lt;/Q&gt;&lt;R&gt;1&lt;/R&gt;&lt;C&gt;1&lt;/C&gt;&lt;D xsi:type="xsd:double"&gt;0.39&lt;/D&gt;&lt;/FQL&gt;&lt;FQL&gt;&lt;Q&gt;KEYS^FF_EPS(QTR_R,0)&lt;/Q&gt;&lt;R&gt;1&lt;/R&gt;&lt;C&gt;1&lt;/C&gt;&lt;D xsi:type="xsd:double"&gt;1.6243&lt;/D&gt;&lt;/FQL&gt;&lt;FQL&gt;&lt;Q&gt;JBL^FF_EPS(QTR_R,0)&lt;/Q&gt;&lt;R&gt;1&lt;/R&gt;&lt;C&gt;1&lt;/C&gt;&lt;D xsi:type="xsd:double"&gt;2.08&lt;/D&gt;&lt;/FQL&gt;&lt;FQL&gt;&lt;Q&gt;IT^JULIAN(FF_EPS(QTR_R,0).DATES)&lt;/Q&gt;&lt;R&gt;1&lt;/R&gt;&lt;C&gt;1&lt;/C&gt;&lt;D xsi:type="xsd:long"&gt;46022&lt;/D&gt;&lt;/FQL&gt;&lt;FQL&gt;&lt;Q&gt;INTC^FF_EPS(QTR_R,0)&lt;/Q&gt;&lt;R&gt;1&lt;/R&gt;&lt;C&gt;1&lt;/C&gt;&lt;D xsi:type="xsd:double"&gt;-0.1217&lt;/D&gt;&lt;/FQL&gt;&lt;FQL&gt;&lt;Q&gt;IDXX^FF_EPS(QTR_R,0)&lt;/Q&gt;&lt;R&gt;1&lt;/R&gt;&lt;C&gt;1&lt;/C&gt;&lt;D xsi:type="xsd:double"&gt;3.0838&lt;/D&gt;&lt;/FQL&gt;&lt;FQL&gt;&lt;Q&gt;HUM^JULIAN(FF_EPS(QTR_R,0).DATES)&lt;/Q&gt;&lt;R&gt;1&lt;/R&gt;&lt;C&gt;1&lt;/C&gt;&lt;D xsi:type="xsd:long"&gt;46022&lt;/D&gt;&lt;/FQL&gt;&lt;FQL&gt;&lt;Q&gt;HD^FE_ESTIMATE(EPS,MEAN,QTR_ROLL,-0,0,,,'')&lt;/Q&gt;&lt;R&gt;1&lt;/R&gt;&lt;C&gt;1&lt;/C&gt;&lt;D xsi:type="xsd:double"&gt;2.72&lt;/D&gt;&lt;/FQL&gt;&lt;FQL&gt;&lt;Q&gt;HAL^FF_EPS(QTR_R,0)&lt;/Q&gt;&lt;R&gt;1&lt;/R&gt;&lt;C&gt;1&lt;/C&gt;&lt;D xsi:type="xsd:double"&gt;0.7012&lt;/D&gt;&lt;/FQL&gt;&lt;FQL&gt;&lt;Q&gt;GEV^FE_ESTIMATE(EPS,MEAN,QTR_ROLL,-0,0,,,'')&lt;/Q&gt;&lt;R&gt;1&lt;/R&gt;&lt;C&gt;1&lt;/C&gt;&lt;D xsi:type="xsd:double"&gt;13.39&lt;/D&gt;&lt;/FQL&gt;&lt;FQL&gt;&lt;Q&gt;FLT^FF_EPS(QTR_R,0)&lt;/Q&gt;&lt;R&gt;1&lt;/R&gt;&lt;C&gt;1&lt;/C&gt;&lt;D xsi:type="xsd:double"&gt;3.7717&lt;/D&gt;&lt;/FQL&gt;&lt;FQL&gt;&lt;Q&gt;F^FF_EPS(QTR_R,0)&lt;/Q&gt;&lt;R&gt;1&lt;/R&gt;&lt;C&gt;1&lt;/C&gt;&lt;D xsi:type="xsd:double"&gt;-2.6286&lt;/D&gt;&lt;/FQL&gt;&lt;FQL&gt;&lt;Q&gt;EQR^FF_EPS(QTR_R,0)&lt;/Q&gt;&lt;R&gt;1&lt;/R&gt;&lt;C&gt;1&lt;/C&gt;&lt;D xsi:type="xsd:double"&gt;0.982&lt;/D&gt;&lt;/FQL&gt;&lt;FQL&gt;&lt;Q&gt;EIX^FE_ESTIMATE(EPS,MEAN,QTR_ROLL,-0,0,,,'')&lt;/Q&gt;&lt;R&gt;1&lt;/R&gt;&lt;C&gt;1&lt;/C&gt;&lt;D xsi:type="xsd:double"&gt;1.86&lt;/D&gt;&lt;/FQL&gt;&lt;FQL&gt;&lt;Q&gt;EBAY^FF_EPS(QTR_R,0)&lt;/Q&gt;&lt;R&gt;1&lt;/R&gt;&lt;C&gt;1&lt;/C&gt;&lt;D xsi:type="xsd:double"&gt;1.1478&lt;/D&gt;&lt;/FQL&gt;&lt;FQL&gt;&lt;Q&gt;DPZ^FE_ESTIMATE(EPS,MEAN,QTR_ROLL,-0,0,,,'')&lt;/Q&gt;&lt;R&gt;1&lt;/R&gt;&lt;C&gt;1&lt;/C&gt;&lt;D xsi:type="xsd:double"&gt;5.35&lt;/D&gt;&lt;/FQL&gt;&lt;FQL&gt;&lt;Q&gt;DIS^FF_EPS(QTR_R,0)&lt;/Q&gt;&lt;R&gt;1&lt;/R&gt;&lt;C&gt;1&lt;/C&gt;&lt;D xsi:type="xsd:double"&gt;1.3396&lt;/D&gt;&lt;/FQL&gt;&lt;FQL&gt;&lt;Q&gt;CZR^FF_EPS(QTR_R,0)&lt;/Q&gt;&lt;R&gt;1&lt;/R&gt;&lt;C&gt;1&lt;/C&gt;&lt;D xsi:type="xsd:double"&gt;-1.2315&lt;/D&gt;&lt;/FQL&gt;&lt;FQL&gt;&lt;Q&gt;CTSH^FE_ESTIMATE(EPS,MEAN,QTR_ROLL,-0,0,,,'')&lt;/Q&gt;&lt;R&gt;1&lt;/R&gt;&lt;C&gt;1&lt;/C&gt;&lt;D xsi:type="xsd:double"&gt;1.35&lt;/D&gt;&lt;/FQL&gt;&lt;FQL&gt;&lt;Q&gt;CRWD^FF_EPS(QTR_R,0)&lt;/Q&gt;&lt;R&gt;1&lt;/R&gt;&lt;C&gt;1&lt;/C&gt;&lt;D xsi:type="xsd:double"&gt;0.1499&lt;/D&gt;&lt;/FQL&gt;&lt;FQL&gt;&lt;Q&gt;CPRT^FE_ESTIMATE(EPS,MEAN,QTR_ROLL,-0,0,,,'')&lt;/Q&gt;&lt;R&gt;1&lt;/R&gt;&lt;C&gt;1&lt;/C&gt;&lt;D xsi:type="xsd:double"&gt;0.36&lt;/D&gt;&lt;/FQL&gt;&lt;FQL&gt;&lt;Q&gt;COST^FF_EPS(QTR_R,0)&lt;/Q&gt;&lt;R&gt;1&lt;/R&gt;&lt;C&gt;1&lt;/C&gt;&lt;D xsi:type="xsd:double"&gt;4.579&lt;/D&gt;&lt;/FQL&gt;&lt;FQL&gt;&lt;Q&gt;CMS^FF_EPS(QTR_R,0)&lt;/Q&gt;&lt;R&gt;1&lt;/R&gt;&lt;C&gt;1&lt;/C&gt;&lt;D xsi:type="xsd:double"&gt;0.9352&lt;/D&gt;&lt;/FQL&gt;&lt;FQL&gt;&lt;Q&gt;CME^JULIAN(FF_EPS(QTR_R,0).DATES)&lt;/Q&gt;&lt;R&gt;1&lt;/R&gt;&lt;C&gt;1&lt;/C&gt;&lt;D xsi:type="xsd:long"&gt;46022&lt;/D&gt;&lt;/FQL&gt;&lt;FQL&gt;&lt;Q&gt;CL^FE_ESTIMATE(EPS,MEAN,QTR_ROLL,-0,0,,,'')&lt;/Q&gt;&lt;R&gt;1&lt;/R&gt;&lt;C&gt;1&lt;/C&gt;&lt;D xsi:type="xsd:double"&gt;0.95&lt;/D&gt;&lt;/FQL&gt;&lt;FQL&gt;&lt;Q&gt;CFG^FF_EPS(QTR_R,0)&lt;/Q&gt;&lt;R&gt;1&lt;/R&gt;&lt;C&gt;1&lt;/C&gt;&lt;D xsi:type="xsd:double"&gt;1.1265&lt;/D&gt;&lt;/FQL&gt;&lt;FQL&gt;&lt;Q&gt;DAY^JULIAN(FF_EPS(QTR_R,0).DATES)&lt;/Q&gt;&lt;R&gt;1&lt;/R&gt;&lt;C&gt;1&lt;/C&gt;&lt;D xsi:type="xsd:long"&gt;45930&lt;/D&gt;&lt;/FQL&gt;&lt;FQL&gt;&lt;Q&gt;CARR^FF_EPS(QTR_R,0)&lt;/Q&gt;&lt;R&gt;1&lt;/R&gt;&lt;C&gt;1&lt;/C&gt;&lt;D xsi:type="xsd:double"&gt;0.0626&lt;/D&gt;&lt;/FQL&gt;&lt;FQL&gt;&lt;Q&gt;C^JULIAN(FF_EPS(QTR_R,0).DATES)&lt;/Q&gt;&lt;R&gt;1&lt;/R&gt;&lt;C&gt;1&lt;/C&gt;&lt;D xsi:type="xsd:long"&gt;46022&lt;/D&gt;&lt;/FQL&gt;&lt;FQL&gt;&lt;Q&gt;BR^FE_ESTIMATE(EPS,MEAN,QTR_ROLL,-0,0,,,'')&lt;/Q&gt;&lt;R&gt;1&lt;/R&gt;&lt;C&gt;1&lt;/C&gt;&lt;D xsi:type="xsd:double"&gt;1.59&lt;/D&gt;&lt;/FQL&gt;&lt;FQL&gt;&lt;Q&gt;BLDR^FF_EPS(QTR_R,0)&lt;/Q&gt;&lt;R&gt;1&lt;/R&gt;&lt;C&gt;1&lt;/C&gt;&lt;D xsi:type="xsd:double"&gt;0.284&lt;/D&gt;&lt;/FQL&gt;&lt;FQL&gt;&lt;Q&gt;BBY^FE_ESTIMATE(EPS,MEAN,QTR_ROLL,-0,0,,,'')&lt;/Q&gt;&lt;R&gt;1&lt;/R&gt;&lt;C&gt;1&lt;/C&gt;&lt;D xsi:type="xsd:double"&gt;2.61&lt;/D&gt;&lt;/FQL&gt;&lt;FQL&gt;&lt;Q&gt;BAC^FF_EPS(QTR_R,0)&lt;/Q&gt;&lt;R&gt;1&lt;/R&gt;&lt;C&gt;1&lt;/C&gt;&lt;D xsi:type="xsd:double"&gt;0.9698&lt;/D&gt;&lt;/FQL&gt;&lt;FQL&gt;&lt;Q&gt;AVGO^JULIAN(FF_EPS(QTR_R,0).DATES)&lt;/Q&gt;&lt;R&gt;1&lt;/R&gt;&lt;C&gt;1&lt;/C&gt;&lt;D xsi:type="xsd:long"&gt;46052&lt;/D&gt;&lt;/FQL&gt;&lt;FQL&gt;&lt;Q&gt;APD^FE_ESTIMATE(EPS,MEAN,QTR_ROLL,-0,0,,,'')&lt;/Q&gt;&lt;R&gt;1&lt;/R&gt;&lt;C&gt;1&lt;/C&gt;&lt;D xsi:type="xsd:double"&gt;3.16&lt;/D&gt;&lt;/FQL&gt;&lt;FQL&gt;&lt;Q&gt;AON^FF_EPS(QTR_R,0)&lt;/Q&gt;&lt;R&gt;1&lt;/R&gt;&lt;C&gt;1&lt;/C&gt;&lt;D xsi:type="xsd:double"&gt;7.8199&lt;/D&gt;&lt;/FQL&gt;&lt;FQL&gt;&lt;Q&gt;WAT^FG_COMPANY_NAME&lt;/Q&gt;&lt;R&gt;1&lt;/R&gt;&lt;C&gt;1&lt;/C&gt;&lt;D xsi:type="xsd:string"&gt;Waters Corporation&lt;/D&gt;&lt;/FQL&gt;&lt;FQL&gt;&lt;Q&gt;UHS^FG_COMPANY_NAME&lt;/Q&gt;&lt;R&gt;1&lt;/R&gt;&lt;C&gt;1&lt;/C&gt;&lt;D xsi:type="xsd:string"&gt;Universal Health Services, Inc. Class B&lt;/D&gt;&lt;/FQL&gt;&lt;FQL&gt;&lt;Q&gt;ROP^FG_COMPANY_NAME&lt;/Q&gt;&lt;R&gt;1&lt;/R&gt;&lt;C&gt;1&lt;/C&gt;&lt;D xsi:type="xsd:string"&gt;Roper Technologies, Inc.&lt;/D&gt;&lt;/FQL&gt;&lt;FQL&gt;&lt;Q&gt;WY^FE_ESTIMATE(EPS,MEAN,QTR_ROLL,-0,0,,,'')&lt;/Q&gt;&lt;R&gt;1&lt;/R&gt;&lt;C&gt;1&lt;/C&gt;&lt;D xsi:type="xsd:double"&gt;-0.09&lt;/D&gt;&lt;/FQL&gt;&lt;FQL&gt;&lt;Q&gt;UNH^FF_EPS(QTR_R,0)&lt;/Q&gt;&lt;R&gt;1&lt;/R&gt;&lt;C&gt;1&lt;/C&gt;&lt;D xsi:type="xsd:double"&gt;0.011&lt;/D&gt;&lt;/FQL&gt;&lt;FQL&gt;&lt;Q&gt;TROW^JULIAN(FF_EPS(QTR_R,0).DATES)&lt;/Q&gt;&lt;R&gt;1&lt;/R&gt;&lt;C&gt;1&lt;/C&gt;&lt;D xsi:type="xsd:long"&gt;46022&lt;/D&gt;&lt;/FQL&gt;&lt;FQL&gt;&lt;Q&gt;TDG^JULIAN(FF_EPS(QTR_R,0).DATES)&lt;/Q&gt;&lt;R&gt;1&lt;/R&gt;&lt;C&gt;1&lt;/C&gt;&lt;D xsi:type="xsd:long"&gt;46022&lt;/D&gt;&lt;/FQL&gt;&lt;FQL&gt;&lt;Q&gt;STZ^FF_EPS(QTR_R,0)&lt;/Q&gt;&lt;R&gt;1&lt;/R&gt;&lt;C&gt;1&lt;/C&gt;&lt;D xsi:type="xsd:double"&gt;2.8795&lt;/D&gt;&lt;/FQL&gt;&lt;FQL&gt;&lt;Q&gt;RE^FF_EPS(QTR_R,0)&lt;/Q&gt;&lt;R&gt;1&lt;/R&gt;&lt;C&gt;1&lt;/C&gt;&lt;D xsi:type="xsd:double"&gt;10.7312&lt;/D&gt;&lt;/FQL&gt;&lt;FQL&gt;&lt;Q&gt;PWR^JULIAN(FF_EPS(QTR_R,0).DATES)&lt;/Q&gt;&lt;R&gt;1&lt;/R&gt;&lt;C&gt;1&lt;/C&gt;&lt;D xsi:type="xsd:long"&gt;46022&lt;/D&gt;&lt;/FQL&gt;&lt;FQL&gt;&lt;Q&gt;PPL^FE_ESTIMATE(EPS,MEAN,QTR_ROLL,-0,0,,,'')&lt;/Q&gt;&lt;R&gt;1&lt;/R&gt;&lt;C&gt;1&lt;/C&gt;&lt;D xsi:type="xsd:double"&gt;0.41&lt;/D&gt;&lt;/FQL&gt;&lt;FQL&gt;&lt;Q&gt;PNC^JULIAN(FF_EPS(QTR_R,0).DATES)&lt;/Q&gt;&lt;R&gt;1&lt;/R&gt;&lt;C&gt;1&lt;/C&gt;&lt;D xsi:type="xsd:long"&gt;46022&lt;/D&gt;&lt;/FQL&gt;&lt;FQL&gt;&lt;Q&gt;PH^FE_ESTIMATE(EPS,MEAN,QTR_ROLL,-0,0,,,'')&lt;/Q&gt;&lt;R&gt;1&lt;/R&gt;&lt;C&gt;1&lt;/C&gt;&lt;D xsi:type="xsd:double"&gt;7.65&lt;/D&gt;&lt;/FQL&gt;&lt;FQL&gt;&lt;Q&gt;PEG^JULIAN(FF_EPS(QTR_R,0).DATES)&lt;/Q&gt;&lt;R&gt;1&lt;/R&gt;&lt;C&gt;1&lt;/C&gt;&lt;D xsi:type="xsd:long"&gt;46022&lt;/D&gt;&lt;/FQL&gt;&lt;FQL&gt;&lt;Q&gt;NKE^JULIAN(FF_EPS(QTR_R,0).DATES)&lt;/Q&gt;&lt;R&gt;1&lt;/R&gt;&lt;C&gt;1&lt;/C&gt;&lt;D xsi:type="xsd:long"&gt;45989&lt;/D&gt;&lt;/FQL&gt;&lt;FQL&gt;&lt;Q&gt;NDSN^JULIAN(FF_EPS(QTR_R,0).DATES)&lt;/Q&gt;&lt;R&gt;1&lt;/R&gt;&lt;C&gt;1&lt;/C&gt;&lt;D xsi:type="xsd:long"&gt;46052&lt;/D&gt;&lt;/FQL&gt;&lt;FQL&gt;&lt;Q&gt;MRNA^FF_EPS(QTR_R,0)&lt;/Q&gt;&lt;R&gt;1&lt;/R&gt;&lt;C&gt;1&lt;/C&gt;&lt;D xsi:type="xsd:double"&gt;-2.1071&lt;/D&gt;&lt;/FQL&gt;&lt;FQL&gt;&lt;Q&gt;MOH^FF_EPS(QTR_R,0)&lt;/Q&gt;&lt;R&gt;1&lt;/R&gt;&lt;C&gt;1&lt;/C&gt;&lt;D xsi:type="xsd:double"&gt;-3.1372&lt;/D&gt;&lt;/FQL&gt;&lt;FQL&gt;&lt;Q&gt;MLM^JULIAN(FF_EPS(QTR_R,0).DATES)&lt;/Q&gt;&lt;R&gt;1&lt;/R&gt;&lt;C&gt;1&lt;/C&gt;&lt;D xsi:type="xsd:long"&gt;46022&lt;/D&gt;&lt;/FQL&gt;&lt;FQL&gt;&lt;Q&gt;MET^FE_ESTIMATE(EPS,MEAN,QTR_ROLL,-0,0,,,'')&lt;/Q&gt;&lt;R&gt;1&lt;/R&gt;&lt;C&gt;1&lt;/C&gt;&lt;D xsi:type="xsd:double"&gt;2.49&lt;/D&gt;&lt;/FQL&gt;&lt;FQL&gt;&lt;Q&gt;MCK^JULIAN(FF_EPS(QTR_R,0).DATES)&lt;/Q&gt;&lt;R&gt;1&lt;/R&gt;&lt;C&gt;1&lt;/C&gt;&lt;D xsi:type="xsd:long"&gt;46022&lt;/D&gt;&lt;/FQL&gt;&lt;FQL&gt;&lt;Q&gt;LMT^JULIAN(FF_EPS(QTR_R,0).DATES)&lt;/Q&gt;&lt;R&gt;1&lt;/R&gt;&lt;C&gt;1&lt;/C&gt;&lt;D xsi:type="xsd:long"&gt;46022&lt;/D&gt;&lt;/FQL&gt;&lt;FQL&gt;&lt;Q&gt;KLAC^JULIAN(FF_EPS(QTR_R,0).DATES)&lt;/Q&gt;&lt;R&gt;1&lt;/R&gt;&lt;C&gt;1&lt;/C&gt;&lt;D xsi:type="xsd:long"&gt;46022&lt;/D&gt;&lt;/FQL&gt;&lt;FQL&gt;&lt;Q&gt;IBM^FF_EPS(QTR_R,0)&lt;/Q&gt;&lt;R&gt;1&lt;/R&gt;&lt;C&gt;1&lt;/C&gt;&lt;D xsi:type="xsd:double"&gt;5.8799&lt;/D&gt;&lt;/FQL&gt;&lt;FQL&gt;&lt;Q&gt;HBAN^FE_ESTIMATE(EPS,MEAN,QTR_ROLL,-0,0,,,'')&lt;/Q&gt;&lt;R&gt;1&lt;/R&gt;&lt;C&gt;1&lt;/C&gt;&lt;D xsi:type="xsd:double"&gt;0.3&lt;/D&gt;&lt;/FQL&gt;&lt;FQL&gt;&lt;Q&gt;GRMN^FE_ESTIMATE(EPS,MEAN,QTR_ROLL,-0,0,,,'')&lt;/Q&gt;&lt;R&gt;1&lt;/R&gt;&lt;C&gt;1&lt;/C&gt;&lt;D xsi:type="xsd:double"&gt;2.79&lt;/D&gt;&lt;/FQL&gt;&lt;FQL&gt;&lt;Q&gt;GL^JULIAN(FF_EPS(QTR_R,0).DATES)&lt;/Q&gt;&lt;R&gt;1&lt;/R&gt;&lt;C&gt;1&lt;/C&gt;&lt;D xsi:type="xsd:long"&gt;46022&lt;/D&gt;&lt;/FQL&gt;&lt;FQL&gt;&lt;Q&gt;GEHC^JULIAN(FF_EPS(QTR_R,0).DATES)&lt;/Q&gt;&lt;R&gt;1&lt;/R&gt;&lt;C&gt;1&lt;/C&gt;&lt;D xsi:type="xsd:long"&gt;46022&lt;/D&gt;&lt;/FQL&gt;&lt;FQL&gt;&lt;Q&gt;FTNT^FE_ESTIMATE(EPS,MEAN,QTR_ROLL,-0,0,,,'')&lt;/Q&gt;&lt;R&gt;1&lt;/R&gt;&lt;C&gt;1&lt;/C&gt;&lt;D xsi:type="xsd:double"&gt;0.81&lt;/D&gt;&lt;/FQL&gt;&lt;FQL&gt;&lt;Q&gt;FAST^FE_ESTIMATE(EPS,MEAN,QTR_ROLL,-0,0,,,'')&lt;/Q&gt;&lt;R&gt;1&lt;/R&gt;&lt;C&gt;1&lt;/C&gt;&lt;D xsi:type="xsd:double"&gt;0.26&lt;/D&gt;&lt;/FQL&gt;&lt;FQL&gt;&lt;Q&gt;EVRG^FF_EPS(QTR_R,0)&lt;/Q&gt;&lt;R&gt;1&lt;/R&gt;&lt;C&gt;1&lt;/C&gt;&lt;D xsi:type="xsd:double"&gt;0.3661&lt;/D&gt;&lt;/FQL&gt;&lt;FQL&gt;&lt;Q&gt;ES^FE_ESTIMATE(EPS,MEAN,QTR_ROLL,-0,0,,,'')&lt;/Q&gt;&lt;R&gt;1&lt;/R&gt;&lt;C&gt;1&lt;/C&gt;&lt;D xsi:type="xsd:double"&gt;1.12&lt;/D&gt;&lt;/FQL&gt;&lt;FQL&gt;&lt;Q&gt;EPAM^FE_ESTIMATE(EPS,MEAN,QTR_ROLL,-0,0,,,'')&lt;/Q&gt;&lt;R&gt;1&lt;/R&gt;&lt;C&gt;1&lt;/C&gt;&lt;D xsi:type="xsd:double"&gt;3.26&lt;/D&gt;&lt;/FQL&gt;&lt;FQL&gt;&lt;Q&gt;ED^FF_EPS(QTR_R,0)&lt;/Q&gt;&lt;R&gt;1&lt;/R&gt;&lt;C&gt;1&lt;/C&gt;&lt;D xsi:type="xsd:double"&gt;0.82&lt;/D&gt;&lt;/FQL&gt;&lt;FQL&gt;&lt;Q&gt;DXCM^FE_ESTIMATE(EPS,MEAN,QTR_ROLL,-0,0,,,'')&lt;/Q&gt;&lt;R&gt;1&lt;/R&gt;&lt;C&gt;1&lt;/C&gt;&lt;D xsi:type="xsd:double"&gt;0.68&lt;/D&gt;&lt;/FQL&gt;&lt;FQL&gt;&lt;Q&gt;DTE^FF_EPS(QTR_R,0)&lt;/Q&gt;&lt;R&gt;1&lt;/R&gt;&lt;C&gt;1&lt;/C&gt;&lt;D xsi:type="xsd:double"&gt;1.7762&lt;/D&gt;&lt;/FQL&gt;&lt;FQL&gt;&lt;Q&gt;DHI^FE_ESTIMATE(EPS,MEAN,QTR_ROLL,-0,0,,,'')&lt;/Q&gt;&lt;R&gt;1&lt;/R&gt;&lt;C&gt;1&lt;/C&gt;&lt;D xsi:type="xsd:double"&gt;2.03&lt;/D&gt;&lt;/FQL&gt;&lt;FQL&gt;&lt;Q&gt;DECK^FF_EPS(QTR_R,0)&lt;/Q&gt;&lt;R&gt;1&lt;/R&gt;&lt;C&gt;1&lt;/C&gt;&lt;D xsi:type="xsd:double"&gt;3.3346&lt;/D&gt;&lt;/FQL&gt;&lt;FQL&gt;&lt;Q&gt;CTRA^JULIAN(FF_EPS(QTR_R,0).DATES)&lt;/Q&gt;&lt;R&gt;1&lt;/R&gt;&lt;C&gt;1&lt;/C&gt;&lt;D xsi:type="xsd:long"&gt;46022&lt;/D&gt;&lt;/FQL&gt;&lt;FQL&gt;&lt;Q&gt;CRL^FE_ESTIMATE(EPS,MEAN,QTR_ROLL,-0,0,,,'')&lt;/Q&gt;&lt;R&gt;1&lt;/R&gt;&lt;C&gt;1&lt;/C&gt;&lt;D xsi:type="xsd:double"&gt;2.39&lt;/D&gt;&lt;/FQL&gt;&lt;FQL&gt;&lt;Q&gt;COP^FE_ESTIMATE(EPS,MEAN,QTR_ROLL,-0,0,,,'')&lt;/Q&gt;&lt;R&gt;1&lt;/R&gt;&lt;C&gt;1&lt;/C&gt;&lt;D xsi:type="xsd:double"&gt;1.02&lt;/D&gt;&lt;/FQL&gt;&lt;FQL&gt;&lt;Q&gt;CNP^FF_EPS(QTR_R,0)&lt;/Q&gt;&lt;R&gt;1&lt;/R&gt;&lt;C&gt;1&lt;/C&gt;&lt;D xsi:type="xsd:double"&gt;0.4044&lt;/D&gt;&lt;/FQL&gt;&lt;FQL&gt;&lt;Q&gt;CMA^FF_EPS(QTR_R,0)&lt;/Q&gt;&lt;R&gt;1&lt;/R&gt;&lt;C&gt;1&lt;/C&gt;&lt;D xsi:type="xsd:double"&gt;1.27&lt;/D&gt;&lt;/FQL&gt;&lt;FQL&gt;&lt;Q&gt;CDNS^FF_EPS(QTR_R,0)&lt;/Q&gt;&lt;R&gt;1&lt;/R&gt;&lt;C&gt;1&lt;/C&gt;&lt;D xsi:type="xsd:double"&gt;1.4221&lt;/D&gt;&lt;/FQL&gt;&lt;FQL&gt;&lt;Q&gt;CB^JULIAN(FF_EPS(QTR_R,0).DATES)&lt;/Q&gt;&lt;R&gt;1&lt;/R&gt;&lt;C&gt;1&lt;/C&gt;&lt;D xsi:type="xsd:long"&gt;46022&lt;/D&gt;&lt;/FQL&gt;&lt;FQL&gt;&lt;Q&gt;BMY^JULIAN(FF_EPS(QTR_R,0).DATES)&lt;/Q&gt;&lt;R&gt;1&lt;/R&gt;&lt;C&gt;1&lt;/C&gt;&lt;D xsi:type="xsd:long"&gt;46022&lt;/D&gt;&lt;/FQL&gt;&lt;FQL&gt;&lt;Q&gt;BIIB^FE_ESTIMATE(EPS,MEAN,QTR_ROLL,-0,0,,,'')&lt;/Q&gt;&lt;R&gt;1&lt;/R&gt;&lt;C&gt;1&lt;/C&gt;&lt;D xsi:type="xsd:double"&gt;1.99&lt;/D&gt;&lt;/FQL&gt;&lt;FQL&gt;&lt;Q&gt;BEN^FF_EPS(QTR_R,0)&lt;/Q&gt;&lt;R&gt;1&lt;/R&gt;&lt;C&gt;1&lt;/C&gt;&lt;D xsi:type="xsd:double"&gt;0.4617&lt;/D&gt;&lt;/FQL&gt;&lt;FQL&gt;&lt;Q&gt;APTV^JULIAN(FF_EPS(QTR_R,0).DATES)&lt;/Q&gt;&lt;R&gt;1&lt;/R&gt;&lt;C&gt;1&lt;/C&gt;&lt;D xsi:type="xsd:long"&gt;46022&lt;/D&gt;&lt;/FQL&gt;&lt;FQL&gt;&lt;Q&gt;ANET^FE_ESTIMATE(EPS,MEAN,QTR_ROLL,-0,0,,,'')&lt;/Q&gt;&lt;R&gt;1&lt;/R&gt;&lt;C&gt;1&lt;/C&gt;&lt;D xsi:type="xsd:double"&gt;0.82&lt;/D&gt;&lt;/FQL&gt;&lt;FQL&gt;&lt;Q&gt;ALLE^JULIAN(FF_EPS(QTR_R,0).DATES)&lt;/Q&gt;&lt;R&gt;1&lt;/R&gt;&lt;C&gt;1&lt;/C&gt;&lt;D xsi:type="xsd:long"&gt;46022&lt;/D&gt;&lt;/FQL&gt;&lt;FQL&gt;&lt;Q&gt;AKAM^FE_ESTIMATE(EPS,MEAN,QTR_ROLL,-0,0,,,'')&lt;/Q&gt;&lt;R&gt;1&lt;/R&gt;&lt;C&gt;1&lt;/C&gt;&lt;D xsi:type="xsd:double"&gt;1.84&lt;/D&gt;&lt;/FQL&gt;&lt;FQL&gt;&lt;Q&gt;AEP^FF_EPS(QTR_R,0)&lt;/Q&gt;&lt;R&gt;1&lt;/R&gt;&lt;C&gt;1&lt;/C&gt;&lt;D xsi:type="xsd:double"&gt;1.0714&lt;/D&gt;&lt;/FQL&gt;&lt;FQL&gt;&lt;Q&gt;ADP^JULIAN(FF_EPS(QTR_R,0).DATES)&lt;/Q&gt;&lt;R&gt;1&lt;/R&gt;&lt;C&gt;1&lt;/C&gt;&lt;D xsi:type="xsd:long"&gt;46022&lt;/D&gt;&lt;/FQL&gt;&lt;FQL&gt;&lt;Q&gt;ABNB^FE_ESTIMATE(EPS,MEAN,QTR_ROLL,-0,0,,,'')&lt;/Q&gt;&lt;R&gt;1&lt;/R&gt;&lt;C&gt;1&lt;/C&gt;&lt;D xsi:type="xsd:double"&gt;0.56&lt;/D&gt;&lt;/FQL&gt;&lt;FQL&gt;&lt;Q&gt;A^FF_EPS(QTR_R,0)&lt;/Q&gt;&lt;R&gt;1&lt;/R&gt;&lt;C&gt;1&lt;/C&gt;&lt;D xsi:type="xsd:double"&gt;1.0739&lt;/D&gt;&lt;/FQL&gt;&lt;FQL&gt;&lt;Q&gt;WEC^FG_COMPANY_NAME&lt;/Q&gt;&lt;R&gt;1&lt;/R&gt;&lt;C&gt;1&lt;/C&gt;&lt;D xsi:type="xsd:string"&gt;WEC Energy Group Inc&lt;/D&gt;&lt;/FQL&gt;&lt;FQL&gt;&lt;Q&gt;URI^FG_COMPANY_NAME&lt;/Q&gt;&lt;R&gt;1&lt;/R&gt;&lt;C&gt;1&lt;/C&gt;&lt;D xsi:type="xsd:string"&gt;United Rentals, Inc.&lt;/D&gt;&lt;/FQL&gt;&lt;FQL&gt;&lt;Q&gt;TEL^FG_COMPANY_NAME&lt;/Q&gt;&lt;R&gt;1&lt;/R&gt;&lt;C&gt;1&lt;/C&gt;&lt;D xsi:type="xsd:string"&gt;TE Connectivity plc&lt;/D&gt;&lt;/FQL&gt;&lt;FQL&gt;&lt;Q&gt;SWK^FG_COMPANY_NAME&lt;/Q&gt;&lt;R&gt;1&lt;/R&gt;&lt;C&gt;1&lt;/C&gt;&lt;D xsi:type="xsd:string"&gt;Stanley Black &amp;amp; Decker, Inc.&lt;/D&gt;&lt;/FQL&gt;&lt;FQL&gt;&lt;Q&gt;SBAC^FG_COMPANY_NAME&lt;/Q&gt;&lt;R&gt;1&lt;/R&gt;&lt;C&gt;1&lt;/C&gt;&lt;D xsi:type="xsd:string"&gt;SBA Communications Corp. Class A&lt;/D&gt;&lt;/FQL&gt;&lt;FQL&gt;&lt;Q&gt;LVS^FG_COMPANY_NAME&lt;/Q&gt;&lt;R&gt;1&lt;/R&gt;&lt;C&gt;1&lt;/C&gt;&lt;D xsi:type="xsd:string"&gt;Las Vegas Sands Corp.&lt;/D&gt;&lt;/FQL&gt;&lt;FQL&gt;&lt;Q&gt;LIN^FG_COMPANY_NAME&lt;/Q&gt;&lt;R&gt;1&lt;/R&gt;&lt;C&gt;1&lt;/C&gt;&lt;D xsi:type="xsd:string"&gt;Linde plc&lt;/D&gt;&lt;/FQL&gt;&lt;FQL&gt;&lt;Q&gt;KMX^FG_COMPANY_NAME&lt;/Q&gt;&lt;R&gt;1&lt;/R&gt;&lt;C&gt;1&lt;/C&gt;&lt;D xsi:type="xsd:string"&gt;CarMax, Inc.&lt;/D&gt;&lt;/FQL&gt;&lt;FQL&gt;&lt;Q&gt;K^FG_COMPANY_NAME&lt;/Q&gt;&lt;R&gt;1&lt;/R&gt;&lt;C&gt;1&lt;/C&gt;&lt;D xsi:type="xsd:string"&gt;Kellanova&lt;/D&gt;&lt;/FQL&gt;&lt;FQL&gt;&lt;Q&gt;IVZ^FG_COMPANY_NAME&lt;/Q&gt;&lt;R&gt;1&lt;/R&gt;&lt;C&gt;1&lt;/C&gt;&lt;D xsi:type="xsd:string"&gt;Invesco Ltd.&lt;/D&gt;&lt;/FQL&gt;&lt;FQL&gt;&lt;Q&gt;INVH^FG_COMPANY_NAME&lt;/Q&gt;&lt;R&gt;1&lt;/R&gt;&lt;C&gt;1&lt;/C&gt;&lt;D xsi:type="xsd:string"&gt;Invitation Homes, Inc.&lt;/D&gt;&lt;/FQL&gt;&lt;FQL&gt;&lt;Q&gt;IBM^FG_COMPANY_NAME&lt;/Q&gt;&lt;R&gt;1&lt;/R&gt;&lt;C&gt;1&lt;/C&gt;&lt;D xsi:type="xsd:string"&gt;International Business Machines Corporation&lt;/D&gt;&lt;/FQL&gt;&lt;FQL&gt;&lt;Q&gt;HON^FG_COMPANY_NAME&lt;/Q&gt;&lt;R&gt;1&lt;/R&gt;&lt;C&gt;1&lt;/C&gt;&lt;D xsi:type="xsd:string"&gt;Honeywell International Inc.&lt;/D&gt;&lt;/FQL&gt;&lt;FQL&gt;&lt;Q&gt;GRMN^FG_COMPANY_NAME&lt;/Q&gt;&lt;R&gt;1&lt;/R&gt;&lt;C&gt;1&lt;/C&gt;&lt;D xsi:type="xsd:string"&gt;Garmin Ltd.&lt;/D&gt;&lt;/FQL&gt;&lt;FQL&gt;&lt;Q&gt;GIS^FG_COMPANY_NAME&lt;/Q&gt;&lt;R&gt;1&lt;/R&gt;&lt;C&gt;1&lt;/C&gt;&lt;D xsi:type="xsd:string"&gt;General Mills, Inc.&lt;/D&gt;&lt;/FQL&gt;&lt;FQL&gt;&lt;Q&gt;FTNT^FG_COMPANY_NAME&lt;/Q&gt;&lt;R&gt;1&lt;/R&gt;&lt;C&gt;1&lt;/C&gt;&lt;D xsi:type="xsd:string"&gt;Fortinet, Inc.&lt;/D&gt;&lt;/FQL&gt;&lt;FQL&gt;&lt;Q&gt;FICO^FG_COMPANY_NAME&lt;/Q&gt;&lt;R&gt;1&lt;/R&gt;&lt;C&gt;1&lt;/C&gt;&lt;D xsi:type="xsd:string"&gt;Fair Isaac Corporation&lt;/D&gt;&lt;/FQL&gt;&lt;FQL&gt;&lt;Q&gt;FANG^FG_COMPANY_NAME&lt;/Q&gt;&lt;R&gt;1&lt;/R&gt;&lt;C&gt;1&lt;/C&gt;&lt;D xsi:type="xsd:string"&gt;Diamondback Energy, Inc.&lt;/D&gt;&lt;/FQL&gt;&lt;FQL&gt;&lt;Q&gt;ETN^FG_COMPANY_NAME&lt;/Q&gt;&lt;R&gt;1&lt;/R&gt;&lt;C&gt;1&lt;/C&gt;&lt;D xsi:type="xsd:string"&gt;Eaton Corp. Plc&lt;/D&gt;&lt;/FQL&gt;&lt;FQL&gt;&lt;Q&gt;CARR^FG_COMPANY_NAME&lt;/Q&gt;&lt;R&gt;1&lt;/R&gt;&lt;C&gt;1&lt;/C&gt;&lt;D xsi:type="xsd:string"&gt;Carrier Global Corp.&lt;/D&gt;&lt;/FQL&gt;&lt;FQL&gt;&lt;Q&gt;BIO^FG_COMPANY_NAME&lt;/Q&gt;&lt;R&gt;1&lt;/R&gt;&lt;C&gt;1&lt;/C&gt;&lt;D xsi:type="xsd:string"&gt;Bio-Rad Laboratories, Inc. Class A&lt;/D&gt;&lt;/FQL&gt;&lt;FQL&gt;&lt;Q&gt;ATVI^FG_COMPANY_NAME&lt;/Q&gt;&lt;R&gt;1&lt;/R&gt;&lt;C&gt;1&lt;/C&gt;&lt;D xsi:type="xsd:string"&gt;Activision Blizzard, Inc.&lt;/D&gt;&lt;/FQL&gt;&lt;FQL&gt;&lt;Q&gt;AMCR^FG_COMPANY_NAME&lt;/Q&gt;&lt;R&gt;1&lt;/R&gt;&lt;C&gt;1&lt;/C&gt;&lt;D xsi:type="xsd:string"&gt;Amcor PLC&lt;/D&gt;&lt;/FQL&gt;&lt;FQL&gt;&lt;Q&gt;WAT^FE_ESTIMATE(EPS,MEAN,QTR_ROLL,-0,0,,,'')&lt;/Q&gt;&lt;R&gt;1&lt;/R&gt;&lt;C&gt;1&lt;/C&gt;&lt;D xsi:type="xsd:double"&gt;4.53&lt;/D&gt;&lt;/FQL&gt;&lt;FQL&gt;&lt;Q&gt;TDY^FE_ESTIMATE(EPS,MEAN,QTR_ROLL,-0,0,,,'')&lt;/Q&gt;&lt;R&gt;1&lt;/R&gt;&lt;C&gt;1&lt;/C&gt;&lt;D xsi:type="xsd:double"&gt;6.3&lt;/D&gt;&lt;/FQL&gt;&lt;FQL&gt;&lt;Q&gt;SCHW^JULIAN(FF_EPS(QTR_R,0).DATES)&lt;/Q&gt;&lt;R&gt;1&lt;/R&gt;&lt;C&gt;1&lt;/C&gt;&lt;D xsi:type="xsd:long"&gt;46022&lt;/D&gt;&lt;/FQL&gt;&lt;FQL&gt;&lt;Q&gt;PLD^FE_ESTIMATE(EPS,MEAN,QTR_ROLL,-0,0,,,'')&lt;/Q&gt;&lt;R&gt;1&lt;/R&gt;&lt;C&gt;1&lt;/C&gt;&lt;D xsi:type="xsd:double"&gt;1.49&lt;/D&gt;&lt;/FQL&gt;&lt;FQL&gt;&lt;Q&gt;PCAR^FF_EPS(QTR_R,0)&lt;/Q&gt;&lt;R&gt;1&lt;/R&gt;&lt;C&gt;1&lt;/C&gt;&lt;D xsi:type="xsd:double"&gt;1.0571&lt;/D&gt;&lt;/FQL&gt;&lt;FQL&gt;&lt;Q&gt;ODFL^JULIAN(FF_EPS(QTR_R,0).DATES)&lt;/Q&gt;&lt;R&gt;1&lt;/R&gt;&lt;C&gt;1&lt;/C&gt;&lt;D xsi:type="xsd:long"&gt;46022&lt;/D&gt;&lt;/FQL&gt;&lt;FQL&gt;&lt;Q&gt;NOW^FE_ESTIMATE(EPS,MEAN,QTR_ROLL,-0,0,,,'')&lt;/Q&gt;&lt;R&gt;1&lt;/R&gt;&lt;C&gt;1&lt;/C&gt;&lt;D xsi:type="xsd:double"&gt;0.92&lt;/D&gt;&lt;/FQL&gt;&lt;FQL&gt;&lt;Q&gt;MTD^FF_EPS(QTR_R,0)&lt;/Q&gt;&lt;R&gt;1&lt;/R&gt;&lt;C&gt;1&lt;/C&gt;&lt;D xsi:type="xsd:double"&gt;13.9776&lt;/D&gt;&lt;/FQL&gt;&lt;FQL&gt;&lt;Q&gt;MHK^FF_EPS(QTR_R,0)&lt;/Q&gt;&lt;R&gt;1&lt;/R&gt;&lt;C&gt;1&lt;/C&gt;&lt;D xsi:type="xsd:double"&gt;0.6785&lt;/D&gt;&lt;/FQL&gt;&lt;FQL&gt;&lt;Q&gt;MAS^JULIAN(FF_EPS(QTR_R,0).DATES)&lt;/Q&gt;&lt;R&gt;1&lt;/R&gt;&lt;C&gt;1&lt;/C&gt;&lt;D xsi:type="xsd:long"&gt;46022&lt;/D&gt;&lt;/FQL&gt;&lt;FQL&gt;&lt;Q&gt;IPG^FF_EPS(QTR_R,0)&lt;/Q&gt;&lt;R&gt;1&lt;/R&gt;&lt;C&gt;1&lt;/C&gt;&lt;D xsi:type="xsd:double"&gt;0.3375&lt;/D&gt;&lt;/FQL&gt;&lt;FQL&gt;&lt;Q&gt;HRL^FF_EPS(QTR_R,0)&lt;/Q&gt;&lt;R&gt;1&lt;/R&gt;&lt;C&gt;1&lt;/C&gt;&lt;D xsi:type="xsd:double"&gt;0.3301&lt;/D&gt;&lt;/FQL&gt;&lt;FQL&gt;&lt;Q&gt;GLW^FE_ESTIMATE(EPS,MEAN,QTR_ROLL,-0,0,,,'')&lt;/Q&gt;&lt;R&gt;1&lt;/R&gt;&lt;C&gt;1&lt;/C&gt;&lt;D xsi:type="xsd:double"&gt;0.72&lt;/D&gt;&lt;/FQL&gt;&lt;FQL&gt;&lt;Q&gt;GDDY^JULIAN(FF_EPS(QTR_R,0).DATES)&lt;/Q&gt;&lt;R&gt;1&lt;/R&gt;&lt;C&gt;1&lt;/C&gt;&lt;D xsi:type="xsd:long"&gt;46022&lt;/D&gt;&lt;/FQL&gt;&lt;FQL&gt;&lt;Q&gt;FLT^JULIAN(FF_EPS(QTR_R,0).DATES)&lt;/Q&gt;&lt;R&gt;1&lt;/R&gt;&lt;C&gt;1&lt;/C&gt;&lt;D xsi:type="xsd:long"&gt;46022&lt;/D&gt;&lt;/FQL&gt;&lt;FQL&gt;&lt;Q&gt;ESS^JULIAN(FF_EPS(QTR_R,0).DATES)&lt;/Q&gt;&lt;R&gt;1&lt;/R&gt;&lt;C&gt;1&lt;/C&gt;&lt;D xsi:type="xsd:long"&gt;46022&lt;/D&gt;&lt;/FQL&gt;&lt;FQL&gt;&lt;Q&gt;EMR^FE_ESTIMATE(EPS,MEAN,QTR_ROLL,-0,0,,,'')&lt;/Q&gt;&lt;R&gt;1&lt;/R&gt;&lt;C&gt;1&lt;/C&gt;&lt;D xsi:type="xsd:double"&gt;1.46&lt;/D&gt;&lt;/FQL&gt;&lt;FQL&gt;&lt;Q&gt;DE^FF_EPS(QTR_R,0)&lt;/Q&gt;&lt;R&gt;1&lt;/R&gt;&lt;C&gt;1&lt;/C&gt;&lt;D xsi:type="xsd:double"&gt;2.4216&lt;/D&gt;&lt;/FQL&gt;&lt;FQL&gt;&lt;Q&gt;CVX^FF_EPS(QTR_R,0)&lt;/Q&gt;&lt;R&gt;1&lt;/R&gt;&lt;C&gt;1&lt;/C&gt;&lt;D xsi:type="xsd:double"&gt;1.3871&lt;/D&gt;&lt;/FQL&gt;&lt;FQL&gt;&lt;Q&gt;CTAS^JULIAN(FF_EPS(QTR_R,0).DATES)&lt;/Q&gt;&lt;R&gt;1&lt;/R&gt;&lt;C&gt;1&lt;/C&gt;&lt;D xsi:type="xsd:long"&gt;46080&lt;/D&gt;&lt;/FQL&gt;&lt;FQL&gt;&lt;Q&gt;COR^FE_ESTIMATE(EPS,MEAN,QTR_ROLL,-0,0,,,'')&lt;/Q&gt;&lt;R&gt;1&lt;/R&gt;&lt;C&gt;1&lt;/C&gt;&lt;D xsi:type="xsd:double"&gt;4.08&lt;/D&gt;&lt;/FQL&gt;&lt;FQL&gt;&lt;Q&gt;CNC^JULIAN(FF_EPS(QTR_R,0).DATES)&lt;/Q&gt;&lt;R&gt;1&lt;/R&gt;&lt;C&gt;1&lt;/C&gt;&lt;D xsi:type="xsd:long"&gt;46022&lt;/D&gt;&lt;/FQL&gt;&lt;FQL&gt;&lt;Q&gt;CMCSA^JULIAN(FF_EPS(QTR_R,0).DATES)&lt;/Q&gt;&lt;R&gt;1&lt;/R&gt;&lt;C&gt;1&lt;/C&gt;&lt;D xsi:type="xsd:long"&gt;46022&lt;/D&gt;&lt;/FQL&gt;&lt;FQL&gt;&lt;Q&gt;CHTR^FF_EPS(QTR_R,0)&lt;/Q&gt;&lt;R&gt;1&lt;/R&gt;&lt;C&gt;1&lt;/C&gt;&lt;D xsi:type="xsd:double"&gt;10.3314&lt;/D&gt;&lt;/FQL&gt;&lt;FQL&gt;&lt;Q&gt;CEG^FE_ESTIMATE(EPS,MEAN,QTR_ROLL,-0,0,,,'')&lt;/Q&gt;&lt;R&gt;1&lt;/R&gt;&lt;C&gt;1&lt;/C&gt;&lt;D xsi:type="xsd:double"&gt;2.3&lt;/D&gt;&lt;/FQL&gt;&lt;FQL&gt;&lt;Q&gt;CCL^JULIAN(FF_EPS(QTR_R,0).DATES)&lt;/Q&gt;&lt;R&gt;1&lt;/R&gt;&lt;C&gt;1&lt;/C&gt;&lt;D xsi:type="xsd:long"&gt;45989&lt;/D&gt;&lt;/FQL&gt;&lt;FQL&gt;&lt;Q&gt;CAT^JULIAN(FF_EPS(QTR_R,0).DATES)&lt;/Q&gt;&lt;R&gt;1&lt;/R&gt;&lt;C&gt;1&lt;/C&gt;&lt;D xsi:type="xsd:long"&gt;46022&lt;/D&gt;&lt;/FQL&gt;&lt;FQL&gt;&lt;Q&gt;BR^FF_EPS(QTR_R,0)&lt;/Q&gt;&lt;R&gt;1&lt;/R&gt;&lt;C&gt;1&lt;/C&gt;&lt;D xsi:type="xsd:double"&gt;2.418&lt;/D&gt;&lt;/FQL&gt;&lt;FQL&gt;&lt;Q&gt;BKR^JULIAN(FF_EPS(QTR_R,0).DATES)&lt;/Q&gt;&lt;R&gt;1&lt;/R&gt;&lt;C&gt;1&lt;/C&gt;&lt;D xsi:type="xsd:long"&gt;46022&lt;/D&gt;&lt;/FQL&gt;&lt;FQL&gt;&lt;Q&gt;BF.B^FF_EPS(QTR_R,0)&lt;/Q&gt;&lt;R&gt;1&lt;/R&gt;&lt;C&gt;1&lt;/C&gt;&lt;D xsi:type="xsd:double"&gt;0.5768&lt;/D&gt;&lt;/FQL&gt;&lt;FQL&gt;&lt;Q&gt;BAX^JULIAN(FF_EPS(QTR_R,0).DATES)&lt;/Q&gt;&lt;R&gt;1&lt;/R&gt;&lt;C&gt;1&lt;/C&gt;&lt;D xsi:type="xsd:long"&gt;46022&lt;/D&gt;&lt;/FQL&gt;&lt;FQL&gt;&lt;Q&gt;AWK^FF_EPS(QTR_R,0)&lt;/Q&gt;&lt;R&gt;1&lt;/R&gt;&lt;C&gt;1&lt;/C&gt;&lt;D xsi:type="xsd:double"&gt;1.2205&lt;/D&gt;&lt;/FQL&gt;&lt;FQL&gt;&lt;Q&gt;ARE^FE_ESTIMATE(EPS,MEAN,QTR_ROLL,-0,0,,,'')&lt;/Q&gt;&lt;R&gt;1&lt;/R&gt;&lt;C&gt;1&lt;/C&gt;&lt;D xsi:type="xsd:double"&gt;-6.35&lt;/D&gt;&lt;/FQL&gt;&lt;FQL&gt;&lt;Q&gt;APA^JULIAN(FF_EPS(QTR_R,0).DATES)&lt;/Q&gt;&lt;R&gt;1&lt;/R&gt;&lt;C&gt;1&lt;/C&gt;&lt;D xsi:type="xsd:long"&gt;46022&lt;/D&gt;&lt;/FQL&gt;&lt;FQL&gt;&lt;Q&gt;AMT^FF_EPS(QTR_R,0)&lt;/Q&gt;&lt;R&gt;1&lt;/R&gt;&lt;C&gt;1&lt;/C&gt;&lt;D xsi:type="xsd:double"&gt;1.752&lt;/D&gt;&lt;/FQL&gt;&lt;FQL&gt;&lt;Q&gt;ALB^FF_EPS(QTR_R,0)&lt;/Q&gt;&lt;R&gt;1&lt;/R&gt;&lt;C&gt;1&lt;/C&gt;&lt;D xsi:type="xsd:double"&gt;-3.8731&lt;/D&gt;&lt;/FQL&gt;&lt;FQL&gt;&lt;Q&gt;AES^FE_ESTIMATE(EPS,MEAN,QTR_ROLL,-0,0,,,'')&lt;/Q&gt;&lt;R&gt;1&lt;/R&gt;&lt;C&gt;1&lt;/C&gt;&lt;D xsi:type="xsd:double"&gt;0.81&lt;/D&gt;&lt;/FQL&gt;&lt;FQL&gt;&lt;Q&gt;WM^FG_COMPANY_NAME&lt;/Q&gt;&lt;R&gt;1&lt;/R&gt;&lt;C&gt;1&lt;/C&gt;&lt;D xsi:type="xsd:string"&gt;Waste Management, Inc.&lt;/D&gt;&lt;/FQL&gt;&lt;FQL&gt;&lt;Q&gt;TYL^FG_COMPANY_NAME&lt;/Q&gt;&lt;R&gt;1&lt;/R&gt;&lt;C&gt;1&lt;/C&gt;&lt;D xsi:type="xsd:string"&gt;Tyler Technologies, Inc.&lt;/D&gt;&lt;/FQL&gt;&lt;FQL&gt;&lt;Q&gt;TFX^FG_COMPANY_NAME&lt;/Q&gt;&lt;R&gt;1&lt;/R&gt;&lt;C&gt;1&lt;/C&gt;&lt;D xsi:type="xsd:string"&gt;Teleflex Incorporated&lt;/D&gt;&lt;/FQL&gt;&lt;FQL&gt;&lt;Q&gt;RCL^FG_COMPANY_NAME&lt;/Q&gt;&lt;R&gt;1&lt;/R&gt;&lt;C&gt;1&lt;/C&gt;&lt;D xsi:type="xsd:string"&gt;Royal Caribbean Group&lt;/D&gt;&lt;/FQL&gt;&lt;FQL&gt;&lt;Q&gt;PPG^FG_COMPANY_NAME&lt;/Q&gt;&lt;R&gt;1&lt;/R&gt;&lt;C&gt;1&lt;/C&gt;&lt;D xsi:type="xsd:string"&gt;PPG Industries, Inc.&lt;/D&gt;&lt;/FQL&gt;&lt;FQL&gt;&lt;Q&gt;PEP^FG_COMPANY_NAME&lt;/Q&gt;&lt;R&gt;1&lt;/R&gt;&lt;C&gt;1&lt;/C&gt;&lt;D xsi:type="xsd:string"&gt;PepsiCo, Inc.&lt;/D&gt;&lt;/FQL&gt;&lt;FQL&gt;&lt;Q&gt;XYL^FE_ESTIMATE(EPS,MEAN,QTR_ROLL,-0,0,,,'')&lt;/Q&gt;&lt;R&gt;1&lt;/R&gt;&lt;C&gt;1&lt;/C&gt;&lt;D xsi:type="xsd:double"&gt;1.42&lt;/D&gt;&lt;/FQL&gt;&lt;FQL&gt;&lt;Q&gt;URI^FE_ESTIMATE(EPS,MEAN,QTR_ROLL,-0,0,,,'')&lt;/Q&gt;&lt;R&gt;1&lt;/R&gt;&lt;C&gt;1&lt;/C&gt;&lt;D xsi:type="xsd:double"&gt;11.09&lt;/D&gt;&lt;/FQL&gt;&lt;FQL&gt;&lt;Q&gt;TSLA^FF_EPS(QTR_R,0)&lt;/Q&gt;&lt;R&gt;1&lt;/R&gt;&lt;C&gt;1&lt;/C&gt;&lt;D xsi:type="xsd:double"&gt;0.2374&lt;/D&gt;&lt;/FQL&gt;&lt;FQL&gt;&lt;Q&gt;STLD^JULIAN(FF_EPS(QTR_R,0).DATES)&lt;/Q&gt;&lt;R&gt;1&lt;/R&gt;&lt;C&gt;1&lt;/C&gt;&lt;D xsi:type="xsd:long"&gt;46022&lt;/D&gt;&lt;/FQL&gt;&lt;FQL&gt;&lt;Q&gt;SBUX^FE_ESTIMATE(EPS,MEAN,QTR_ROLL,-0,0,,,'')&lt;/Q&gt;&lt;R&gt;1&lt;/R&gt;&lt;C&gt;1&lt;/C&gt;&lt;D xsi:type="xsd:double"&gt;0.56&lt;/D&gt;&lt;/FQL&gt;&lt;FQL&gt;&lt;Q&gt;RF^FF_EPS(QTR_R,0)&lt;/Q&gt;&lt;R&gt;1&lt;/R&gt;&lt;C&gt;1&lt;/C&gt;&lt;D xsi:type="xsd:double"&gt;0.5841&lt;/D&gt;&lt;/FQL&gt;&lt;FQL&gt;&lt;Q&gt;PSX^FF_EPS(QTR_R,0)&lt;/Q&gt;&lt;R&gt;1&lt;/R&gt;&lt;C&gt;1&lt;/C&gt;&lt;D xsi:type="xsd:double"&gt;7.1826&lt;/D&gt;&lt;/FQL&gt;&lt;FQL&gt;&lt;Q&gt;PLD^JULIAN(FF_EPS(QTR_R,0).DATES)&lt;/Q&gt;&lt;R&gt;1&lt;/R&gt;&lt;C&gt;1&lt;/C&gt;&lt;D xsi:type="xsd:long"&gt;46022&lt;/D&gt;&lt;/FQL&gt;&lt;FQL&gt;&lt;Q&gt;NOW^FF_EPS(QTR_R,0)&lt;/Q&gt;&lt;R&gt;1&lt;/R&gt;&lt;C&gt;1&lt;/C&gt;&lt;D xsi:type="xsd:double"&gt;0.383&lt;/D&gt;&lt;/FQL&gt;&lt;FQL&gt;&lt;Q&gt;MPC^JULIAN(FF_EPS(QTR_R,0).DATES)&lt;/Q&gt;&lt;R&gt;1&lt;/R&gt;&lt;C&gt;1&lt;/C&gt;&lt;D xsi:type="xsd:long"&gt;46022&lt;/D&gt;&lt;/FQL&gt;&lt;FQL&gt;&lt;Q&gt;MGM^FE_ESTIMATE(EPS,MEAN,QTR_ROLL,-0,0,,,'')&lt;/Q&gt;&lt;R&gt;1&lt;/R&gt;&lt;C&gt;1&lt;/C&gt;&lt;D xsi:type="xsd:double"&gt;1.6&lt;/D&gt;&lt;/FQL&gt;&lt;FQL&gt;&lt;Q&gt;MAR^FE_ESTIMATE(EPS,MEAN,QTR_ROLL,-0,0,,,'')&lt;/Q&gt;&lt;R&gt;1&lt;/R&gt;&lt;C&gt;1&lt;/C&gt;&lt;D xsi:type="xsd:double"&gt;2.58&lt;/D&gt;&lt;/FQL&gt;&lt;FQL&gt;&lt;Q&gt;LOW^FF_EPS(QTR_R,0)&lt;/Q&gt;&lt;R&gt;1&lt;/R&gt;&lt;C&gt;1&lt;/C&gt;&lt;D xsi:type="xsd:double"&gt;1.7772&lt;/D&gt;&lt;/FQL&gt;&lt;FQL&gt;&lt;Q&gt;KVUE^FE_ESTIMATE(EPS,MEAN,QTR_ROLL,-0,0,,,'')&lt;/Q&gt;&lt;R&gt;1&lt;/R&gt;&lt;C&gt;1&lt;/C&gt;&lt;D xsi:type="xsd:double"&gt;0.27&lt;/D&gt;&lt;/FQL&gt;&lt;FQL&gt;&lt;Q&gt;KEYS^JULIAN(FF_EPS(QTR_R,0).DATES)&lt;/Q&gt;&lt;R&gt;1&lt;/R&gt;&lt;C&gt;1&lt;/C&gt;&lt;D xsi:type="xsd:long"&gt;46052&lt;/D&gt;&lt;/FQL&gt;&lt;FQL&gt;&lt;Q&gt;HAL^JULIAN(FF_EPS(QTR_R,0).DATES)&lt;/Q&gt;&lt;R&gt;1&lt;/R&gt;&lt;C&gt;1&lt;/C&gt;&lt;D xsi:type="xsd:long"&gt;46022&lt;/D&gt;&lt;/FQL&gt;&lt;FQL&gt;&lt;Q&gt;GLW^FF_EPS(QTR_R,0)&lt;/Q&gt;&lt;R&gt;1&lt;/R&gt;&lt;C&gt;1&lt;/C&gt;&lt;D xsi:type="xsd:double"&gt;0.62&lt;/D&gt;&lt;/FQL&gt;&lt;FQL&gt;&lt;Q&gt;FITB^FE_ESTIMATE(EPS,MEAN,QTR_ROLL,-0,0,,,'')&lt;/Q&gt;&lt;R&gt;1&lt;/R&gt;&lt;C&gt;1&lt;/C&gt;&lt;D xsi:type="xsd:double"&gt;1.04&lt;/D&gt;&lt;/FQL&gt;&lt;FQL&gt;&lt;Q&gt;FCX^JULIAN(FF_EPS(QTR_R,0).DATES)&lt;/Q&gt;&lt;R&gt;1&lt;/R&gt;&lt;C&gt;1&lt;/C&gt;&lt;D xsi:type="xsd:long"&gt;46022&lt;/D&gt;&lt;/FQL&gt;&lt;FQL&gt;&lt;Q&gt;EXPD^JULIAN(FF_EPS(QTR_R,0).DATES)&lt;/Q&gt;&lt;R&gt;1&lt;/R&gt;&lt;C&gt;1&lt;/C&gt;&lt;D xsi:type="xsd:long"&gt;46022&lt;/D&gt;&lt;/FQL&gt;&lt;FQL&gt;&lt;Q&gt;EBAY^JULIAN(FF_EPS(QTR_R,0).DATES)&lt;/Q&gt;&lt;R&gt;1&lt;/R&gt;&lt;C&gt;1&lt;/C&gt;&lt;D xsi:type="xsd:long"&gt;46022&lt;/D&gt;&lt;/FQL&gt;&lt;FQL&gt;&lt;Q&gt;DTE^JULIAN(FF_EPS(QTR_R,0).DATES)&lt;/Q&gt;&lt;R&gt;1&lt;/R&gt;&lt;C&gt;1&lt;/C&gt;&lt;D xsi:type="xsd:long"&gt;46022&lt;/D&gt;&lt;/FQL&gt;&lt;FQL&gt;&lt;Q&gt;DHR^FF_EPS(QTR_R,0)&lt;/Q&gt;&lt;R&gt;1&lt;/R&gt;&lt;C&gt;1&lt;/C&gt;&lt;D xsi:type="xsd:double"&gt;1.6835&lt;/D&gt;&lt;/FQL&gt;&lt;FQL&gt;&lt;Q&gt;CSX^FE_ESTIMATE(EPS,MEAN,QTR_ROLL,-0,0,,,'')&lt;/Q&gt;&lt;R&gt;1&lt;/R&gt;&lt;C&gt;1&lt;/C&gt;&lt;D xsi:type="xsd:double"&gt;0.39&lt;/D&gt;&lt;/FQL&gt;&lt;FQL&gt;&lt;Q&gt;CRL^FF_EPS(QTR_R,0)&lt;/Q&gt;&lt;R&gt;1&lt;/R&gt;&lt;C&gt;1&lt;/C&gt;&lt;D xsi:type="xsd:double"&gt;-5.6192&lt;/D&gt;&lt;/FQL&gt;&lt;FQL&gt;&lt;Q&gt;CEG^FF_EPS(QTR_R,0)&lt;/Q&gt;&lt;R&gt;1&lt;/R&gt;&lt;C&gt;1&lt;/C&gt;&lt;D xsi:type="xsd:double"&gt;1.3802&lt;/D&gt;&lt;/FQL&gt;&lt;FQL&gt;&lt;Q&gt;CARR^FE_ESTIMATE(EPS,MEAN,QTR_ROLL,-0,0,,,'')&lt;/Q&gt;&lt;R&gt;1&lt;/R&gt;&lt;C&gt;1&lt;/C&gt;&lt;D xsi:type="xsd:double"&gt;0.34&lt;/D&gt;&lt;/FQL&gt;&lt;FQL&gt;&lt;Q&gt;BXP^JULIAN(FF_EPS(QTR_R,0).DATES)&lt;/Q&gt;&lt;R&gt;1&lt;/R&gt;&lt;C&gt;1&lt;/C&gt;&lt;D xsi:type="xsd:long"&gt;46022&lt;/D&gt;&lt;/FQL&gt;&lt;FQL&gt;&lt;Q&gt;BKNG^FE_ESTIMATE(EPS,MEAN,QTR_ROLL,-0,0,,,'')&lt;/Q&gt;&lt;R&gt;1&lt;/R&gt;&lt;C&gt;1&lt;/C&gt;&lt;D xsi:type="xsd:double"&gt;48.8&lt;/D&gt;&lt;/FQL&gt;&lt;FQL&gt;&lt;Q&gt;AOS^FE_ESTIMATE(EPS,MEAN,QTR_ROLL,-0,0,,,'')&lt;/Q&gt;&lt;R&gt;1&lt;/R&gt;&lt;C&gt;1&lt;/C&gt;&lt;D xsi:type="xsd:double"&gt;0.9&lt;/D&gt;&lt;/FQL&gt;&lt;FQL&gt;&lt;Q&gt;AMCR^JULIAN(FF_EPS(QTR_R,0).DATES)&lt;/Q&gt;&lt;R&gt;1&lt;/R&gt;&lt;C&gt;1&lt;/C&gt;&lt;D xsi:type="xsd:long"&gt;46022&lt;/D&gt;&lt;/FQL&gt;&lt;FQL&gt;&lt;Q&gt;ABT^FF_EPS(QTR_R,0)&lt;/Q&gt;&lt;R&gt;1&lt;/R&gt;&lt;C&gt;1&lt;/C&gt;&lt;D xsi:type="xsd:double"&gt;1.0303&lt;/D&gt;&lt;/FQL&gt;&lt;FQL&gt;&lt;Q&gt;ZBRA^FG_COMPANY_NAME&lt;/Q&gt;&lt;R&gt;1&lt;/R&gt;&lt;C&gt;1&lt;/C&gt;&lt;D xsi:type="xsd:string"&gt;Zebra Technologies Corporation Class A&lt;/D&gt;&lt;/FQL&gt;&lt;FQL&gt;&lt;Q&gt;WELL^FG_COMPANY_NAME&lt;/Q&gt;&lt;R&gt;1&lt;/R&gt;&lt;C&gt;1&lt;/C&gt;&lt;D xsi:type="xsd:string"&gt;Welltower Inc.&lt;/D&gt;&lt;/FQL&gt;&lt;FQL&gt;&lt;Q&gt;TXT^FG_COMPANY_NAME&lt;/Q&gt;&lt;R&gt;1&lt;/R&gt;&lt;C&gt;1&lt;/C&gt;&lt;D xsi:type="xsd:string"&gt;Textron Inc.&lt;/D&gt;&lt;/FQL&gt;&lt;FQL&gt;&lt;Q&gt;TFC^FG_COMPANY_NAME&lt;/Q&gt;&lt;R&gt;1&lt;/R&gt;&lt;C&gt;1&lt;/C&gt;&lt;D xsi:type="xsd:string"&gt;Truist Financial Corporation&lt;/D&gt;&lt;/FQL&gt;&lt;FQL&gt;&lt;Q&gt;STT^FG_COMPANY_NAME&lt;/Q&gt;&lt;R&gt;1&lt;/R&gt;&lt;C&gt;1&lt;/C&gt;&lt;D xsi:type="xsd:string"&gt;State Street Corporation&lt;/D&gt;&lt;/FQL&gt;&lt;FQL&gt;&lt;Q&gt;SBUX^FG_COMPANY_NAME&lt;/Q&gt;&lt;R&gt;1&lt;/R&gt;&lt;C&gt;1&lt;/C&gt;&lt;D xsi:type="xsd:string"&gt;Starbucks Corporation&lt;/D&gt;&lt;/FQL&gt;&lt;FQL&gt;&lt;Q&gt;POOL^FG_COMPANY_NAME&lt;/Q&gt;&lt;R&gt;1&lt;/R&gt;&lt;C&gt;1&lt;/C&gt;&lt;D xsi:type="xsd:string"&gt;Pool Corporation&lt;/D&gt;&lt;/FQL&gt;&lt;FQL&gt;&lt;Q&gt;NOC^FG_COMPANY_NAME&lt;/Q&gt;&lt;R&gt;1&lt;/R&gt;&lt;C&gt;1&lt;/C&gt;&lt;D xsi:type="xsd:string"&gt;Northrop Grumman Corp.&lt;/D&gt;&lt;/FQL&gt;&lt;FQL&gt;&lt;Q&gt;MSFT^FG_COMPANY_NAME&lt;/Q&gt;&lt;R&gt;1&lt;/R&gt;&lt;C&gt;1&lt;/C&gt;&lt;D xsi:type="xsd:string"&gt;Microsoft Corporation&lt;/D&gt;&lt;/FQL&gt;&lt;FQL&gt;&lt;Q&gt;MMC^FG_COMPANY_NAME&lt;/Q&gt;&lt;R&gt;1&lt;/R&gt;&lt;C&gt;1&lt;/C&gt;&lt;D xsi:type="xsd:string"&gt;Marsh &amp;amp; McLennan Companies, Inc.&lt;/D&gt;&lt;/FQL&gt;&lt;FQL&gt;&lt;Q&gt;IP^FG_COMPANY_NAME&lt;/Q&gt;&lt;R&gt;1&lt;/R&gt;&lt;C&gt;1&lt;/C&gt;&lt;D xsi:type="xsd:string"&gt;International Paper Company&lt;/D&gt;&lt;/FQL&gt;&lt;FQL&gt;&lt;Q&gt;HST^FG_COMPANY_NAME&lt;/Q&gt;&lt;R&gt;1&lt;/R&gt;&lt;C&gt;1&lt;/C&gt;&lt;D xsi:type="xsd:string"&gt;Host Hotels &amp;amp; Resorts, Inc.&lt;/D&gt;&lt;/FQL&gt;&lt;FQL&gt;&lt;Q&gt;GEN^FG_COMPANY_NAME&lt;/Q&gt;&lt;R&gt;1&lt;/R&gt;&lt;C&gt;1&lt;/C&gt;&lt;D xsi:type="xsd:string"&gt;Gen Digital Inc.&lt;/D&gt;&lt;/FQL&gt;&lt;FQL&gt;&lt;Q&gt;FITB^FG_COMPANY_NAME&lt;/Q&gt;&lt;R&gt;1&lt;/R&gt;&lt;C&gt;1&lt;/C&gt;&lt;D xsi:type="xsd:string"&gt;Fifth Third Bancorp&lt;/D&gt;&lt;/FQL&gt;&lt;FQL&gt;&lt;Q&gt;EXPE^FG_COMPANY_NAME&lt;/Q&gt;&lt;R&gt;1&lt;/R&gt;&lt;C&gt;1&lt;/C&gt;&lt;D xsi:type="xsd:string"&gt;Expedia Group, Inc.&lt;/D&gt;&lt;/FQL&gt;&lt;FQL&gt;&lt;Q&gt;DVN^FG_COMPANY_NAME&lt;/Q&gt;&lt;R&gt;1&lt;/R&gt;&lt;C&gt;1&lt;/C&gt;&lt;D xsi:type="xsd:string"&gt;Devon Energy Corporation&lt;/D&gt;&lt;/FQL&gt;&lt;FQL&gt;&lt;Q&gt;CTRA^FG_COMPANY_NAME&lt;/Q&gt;&lt;R&gt;1&lt;/R&gt;&lt;C&gt;1&lt;/C&gt;&lt;D xsi:type="xsd:string"&gt;Coterra Energy Inc.&lt;/D&gt;&lt;/FQL&gt;&lt;FQL&gt;&lt;Q&gt;COP^FG_COMPANY_NAME&lt;/Q&gt;&lt;R&gt;1&lt;/R&gt;&lt;C&gt;1&lt;/C&gt;&lt;D xsi:type="xsd:string"&gt;ConocoPhillips&lt;/D&gt;&lt;/FQL&gt;&lt;FQL&gt;&lt;Q&gt;BF.B^FG_COMPANY_NAME&lt;/Q&gt;&lt;R&gt;1&lt;/R&gt;&lt;C&gt;1&lt;/C&gt;&lt;D xsi:type="xsd:string"&gt;Brown-Forman Corporation Class B&lt;/D&gt;&lt;/FQL&gt;&lt;FQL&gt;&lt;Q&gt;AVGO^FG_COMPANY_NAME&lt;/Q&gt;&lt;R&gt;1&lt;/R&gt;&lt;C&gt;1&lt;/C&gt;&lt;D xsi:type="xsd:string"&gt;Broadcom Inc.&lt;/D&gt;&lt;/FQL&gt;&lt;FQL&gt;&lt;Q&gt;AMZN^FG_COMPANY_NAME&lt;/Q&gt;&lt;R&gt;1&lt;/R&gt;&lt;C&gt;1&lt;/C&gt;&lt;D xsi:type="xsd:string"&gt;Amazon.com, Inc.&lt;/D&gt;&lt;/FQL&gt;&lt;FQL&gt;&lt;Q&gt;TDY^FF_EPS(QTR_R,0)&lt;/Q&gt;&lt;R&gt;1&lt;/R&gt;&lt;C&gt;1&lt;/C&gt;&lt;D xsi:type="xsd:double"&gt;5.839&lt;/D&gt;&lt;/FQL&gt;&lt;FQL&gt;&lt;Q&gt;STE^FF_EPS(QTR_R,0)&lt;/Q&gt;&lt;R&gt;1&lt;/R&gt;&lt;C&gt;1&lt;/C&gt;&lt;D xsi:type="xsd:double"&gt;1.9564&lt;/D&gt;&lt;/FQL&gt;&lt;FQL&gt;&lt;Q&gt;RF^JULIAN(FF_EPS(QTR_R,0).DATES)&lt;/Q&gt;&lt;R&gt;1&lt;/R&gt;&lt;C&gt;1&lt;/C&gt;&lt;D xsi:type="xsd:long"&gt;46022&lt;/D&gt;&lt;/FQL&gt;&lt;FQL&gt;&lt;Q&gt;PRU^FE_ESTIMATE(EPS,MEAN,QTR_ROLL,-0,0,,,'')&lt;/Q&gt;&lt;R&gt;1&lt;/R&gt;&lt;C&gt;1&lt;/C&gt;&lt;D xsi:type="xsd:double"&gt;3.3&lt;/D&gt;&lt;/FQL&gt;&lt;FQL&gt;&lt;Q&gt;PKG^FF_EPS(QTR_R,0)&lt;/Q&gt;&lt;R&gt;1&lt;/R&gt;&lt;C&gt;1&lt;/C&gt;&lt;D xsi:type="xsd:double"&gt;1.1284&lt;/D&gt;&lt;/FQL&gt;&lt;FQL&gt;&lt;Q&gt;PAYX^FF_EPS(QTR_R,0)&lt;/Q&gt;&lt;R&gt;1&lt;/R&gt;&lt;C&gt;1&lt;/C&gt;&lt;D xsi:type="xsd:double"&gt;1.5586&lt;/D&gt;&lt;/FQL&gt;&lt;FQL&gt;&lt;Q&gt;O^FE_ESTIMATE(EPS,MEAN,QTR_ROLL,-0,0,,,'')&lt;/Q&gt;&lt;R&gt;1&lt;/R&gt;&lt;C&gt;1&lt;/C&gt;&lt;D xsi:type="xsd:double"&gt;0.32&lt;/D&gt;&lt;/FQL&gt;&lt;FQL&gt;&lt;Q&gt;MTD^JULIAN(FF_EPS(QTR_R,0).DATES)&lt;/Q&gt;&lt;R&gt;1&lt;/R&gt;&lt;C&gt;1&lt;/C&gt;&lt;D xsi:type="xsd:lon</t>
        </r>
      </text>
    </comment>
    <comment ref="A5" authorId="0" shapeId="0" xr:uid="{1A9E0ED3-A8A1-4BFE-BD29-C561A28F2400}">
      <text>
        <r>
          <rPr>
            <b/>
            <sz val="9"/>
            <color indexed="81"/>
            <rFont val="Tahoma"/>
            <charset val="1"/>
          </rPr>
          <t>g"&gt;46022&lt;/D&gt;&lt;/FQL&gt;&lt;FQL&gt;&lt;Q&gt;MOS^FE_ESTIMATE(EPS,MEAN,QTR_ROLL,-0,0,,,'')&lt;/Q&gt;&lt;R&gt;1&lt;/R&gt;&lt;C&gt;1&lt;/C&gt;&lt;D xsi:type="xsd:double"&gt;0.22&lt;/D&gt;&lt;/FQL&gt;&lt;FQL&gt;&lt;Q&gt;J^FE_ESTIMATE(EPS,MEAN,QTR_ROLL,-0,0,,,'')&lt;/Q&gt;&lt;R&gt;1&lt;/R&gt;&lt;C&gt;1&lt;/C&gt;&lt;D xsi:type="xsd:double"&gt;1.53&lt;/D&gt;&lt;/FQL&gt;&lt;FQL&gt;&lt;Q&gt;HPQ^FF_EPS(QTR_R,0)&lt;/Q&gt;&lt;R&gt;1&lt;/R&gt;&lt;C&gt;1&lt;/C&gt;&lt;D xsi:type="xsd:double"&gt;0.5848&lt;/D&gt;&lt;/FQL&gt;&lt;FQL&gt;&lt;Q&gt;GWW^FE_ESTIMATE(EPS,MEAN,QTR_ROLL,-0,0,,,'')&lt;/Q&gt;&lt;R&gt;1&lt;/R&gt;&lt;C&gt;1&lt;/C&gt;&lt;D xsi:type="xsd:double"&gt;9.44&lt;/D&gt;&lt;/FQL&gt;&lt;FQL&gt;&lt;Q&gt;WAB^FE_ESTIMATE(EPS,MEAN,QTR_ROLL,-0,0,,,'')&lt;/Q&gt;&lt;R&gt;1&lt;/R&gt;&lt;C&gt;1&lt;/C&gt;&lt;D xsi:type="xsd:double"&gt;2.1&lt;/D&gt;&lt;/FQL&gt;&lt;FQL&gt;&lt;Q&gt;UPS^FF_EPS(QTR_R,0)&lt;/Q&gt;&lt;R&gt;1&lt;/R&gt;&lt;C&gt;1&lt;/C&gt;&lt;D xsi:type="xsd:double"&gt;2.0996&lt;/D&gt;&lt;/FQL&gt;&lt;FQL&gt;&lt;Q&gt;SBUX^FF_EPS(QTR_R,0)&lt;/Q&gt;&lt;R&gt;1&lt;/R&gt;&lt;C&gt;1&lt;/C&gt;&lt;D xsi:type="xsd:double"&gt;0.2568&lt;/D&gt;&lt;/FQL&gt;&lt;FQL&gt;&lt;Q&gt;PHM^FE_ESTIMATE(EPS,MEAN,QTR_ROLL,-0,0,,,'')&lt;/Q&gt;&lt;R&gt;1&lt;/R&gt;&lt;C&gt;1&lt;/C&gt;&lt;D xsi:type="xsd:double"&gt;2.56&lt;/D&gt;&lt;/FQL&gt;&lt;FQL&gt;&lt;Q&gt;PAYX^JULIAN(FF_EPS(QTR_R,0).DATES)&lt;/Q&gt;&lt;R&gt;1&lt;/R&gt;&lt;C&gt;1&lt;/C&gt;&lt;D xsi:type="xsd:long"&gt;46080&lt;/D&gt;&lt;/FQL&gt;&lt;FQL&gt;&lt;Q&gt;O^JULIAN(FF_EPS(QTR_R,0).DATES)&lt;/Q&gt;&lt;R&gt;1&lt;/R&gt;&lt;C&gt;1&lt;/C&gt;&lt;D xsi:type="xsd:long"&gt;46022&lt;/D&gt;&lt;/FQL&gt;&lt;FQL&gt;&lt;Q&gt;NOW^JULIAN(FF_EPS(QTR_R,0).DATES)&lt;/Q&gt;&lt;R&gt;1&lt;/R&gt;&lt;C&gt;1&lt;/C&gt;&lt;D xsi:type="xsd:long"&gt;46022&lt;/D&gt;&lt;/FQL&gt;&lt;FQL&gt;&lt;Q&gt;MTCH^FF_EPS(QTR_R,0)&lt;/Q&gt;&lt;R&gt;1&lt;/R&gt;&lt;C&gt;1&lt;/C&gt;&lt;D xsi:type="xsd:double"&gt;0.8331&lt;/D&gt;&lt;/FQL&gt;&lt;FQL&gt;&lt;Q&gt;LNT^FE_ESTIMATE(EPS,MEAN,QTR_ROLL,-0,0,,,'')&lt;/Q&gt;&lt;R&gt;1&lt;/R&gt;&lt;C&gt;1&lt;/C&gt;&lt;D xsi:type="xsd:double"&gt;0.6&lt;/D&gt;&lt;/FQL&gt;&lt;FQL&gt;&lt;Q&gt;KVUE^FF_EPS(QTR_R,0)&lt;/Q&gt;&lt;R&gt;1&lt;/R&gt;&lt;C&gt;1&lt;/C&gt;&lt;D xsi:type="xsd:double"&gt;0.1719&lt;/D&gt;&lt;/FQL&gt;&lt;FQL&gt;&lt;Q&gt;KEY^FE_ESTIMATE(EPS,MEAN,QTR_ROLL,-0,0,,,'')&lt;/Q&gt;&lt;R&gt;1&lt;/R&gt;&lt;C&gt;1&lt;/C&gt;&lt;D xsi:type="xsd:double"&gt;0.43&lt;/D&gt;&lt;/FQL&gt;&lt;FQL&gt;&lt;Q&gt;IP^FE_ESTIMATE(EPS,MEAN,QTR_ROLL,-0,0,,,'')&lt;/Q&gt;&lt;R&gt;1&lt;/R&gt;&lt;C&gt;1&lt;/C&gt;&lt;D xsi:type="xsd:double"&gt;-0.08&lt;/D&gt;&lt;/FQL&gt;&lt;FQL&gt;&lt;Q&gt;ICE^FF_EPS(QTR_R,0)&lt;/Q&gt;&lt;R&gt;1&lt;/R&gt;&lt;C&gt;1&lt;/C&gt;&lt;D xsi:type="xsd:double"&gt;1.4878&lt;/D&gt;&lt;/FQL&gt;&lt;FQL&gt;&lt;Q&gt;GWW^FF_EPS(QTR_R,0)&lt;/Q&gt;&lt;R&gt;1&lt;/R&gt;&lt;C&gt;1&lt;/C&gt;&lt;D xsi:type="xsd:double"&gt;9.4748&lt;/D&gt;&lt;/FQL&gt;&lt;FQL&gt;&lt;Q&gt;GLW^JULIAN(FF_EPS(QTR_R,0).DATES)&lt;/Q&gt;&lt;R&gt;1&lt;/R&gt;&lt;C&gt;1&lt;/C&gt;&lt;D xsi:type="xsd:long"&gt;46022&lt;/D&gt;&lt;/FQL&gt;&lt;FQL&gt;&lt;Q&gt;FTV^FE_ESTIMATE(EPS,MEAN,QTR_ROLL,-0,0,,,'')&lt;/Q&gt;&lt;R&gt;1&lt;/R&gt;&lt;C&gt;1&lt;/C&gt;&lt;D xsi:type="xsd:double"&gt;0.9&lt;/D&gt;&lt;/FQL&gt;&lt;FQL&gt;&lt;Q&gt;FITB^FF_EPS(QTR_R,0)&lt;/Q&gt;&lt;R&gt;1&lt;/R&gt;&lt;C&gt;1&lt;/C&gt;&lt;D xsi:type="xsd:double"&gt;1.0446&lt;/D&gt;&lt;/FQL&gt;&lt;FQL&gt;&lt;Q&gt;FCNCA^FE_ESTIMATE(EPS,MEAN,QTR_ROLL,-0,0,,,'')&lt;/Q&gt;&lt;R&gt;1&lt;/R&gt;&lt;C&gt;1&lt;/C&gt;&lt;D xsi:type="xsd:double"&gt;51.27&lt;/D&gt;&lt;/FQL&gt;&lt;FQL&gt;&lt;Q&gt;EMN^FE_ESTIMATE(EPS,MEAN,QTR_ROLL,-0,0,,,'')&lt;/Q&gt;&lt;R&gt;1&lt;/R&gt;&lt;C&gt;1&lt;/C&gt;&lt;D xsi:type="xsd:double"&gt;0.75&lt;/D&gt;&lt;/FQL&gt;&lt;FQL&gt;&lt;Q&gt;DHR^JULIAN(FF_EPS(QTR_R,0).DATES)&lt;/Q&gt;&lt;R&gt;1&lt;/R&gt;&lt;C&gt;1&lt;/C&gt;&lt;D xsi:type="xsd:long"&gt;46022&lt;/D&gt;&lt;/FQL&gt;&lt;FQL&gt;&lt;Q&gt;DD^FF_EPS(QTR_R,0)&lt;/Q&gt;&lt;R&gt;1&lt;/R&gt;&lt;C&gt;1&lt;/C&gt;&lt;D xsi:type="xsd:double"&gt;-0.3046&lt;/D&gt;&lt;/FQL&gt;&lt;FQL&gt;&lt;Q&gt;CVS^FE_ESTIMATE(EPS,MEAN,QTR_ROLL,-0,0,,,'')&lt;/Q&gt;&lt;R&gt;1&lt;/R&gt;&lt;C&gt;1&lt;/C&gt;&lt;D xsi:type="xsd:double"&gt;1.09&lt;/D&gt;&lt;/FQL&gt;&lt;FQL&gt;&lt;Q&gt;COR^JULIAN(FF_EPS(QTR_R,0).DATES)&lt;/Q&gt;&lt;R&gt;1&lt;/R&gt;&lt;C&gt;1&lt;/C&gt;&lt;D xsi:type="xsd:long"&gt;46022&lt;/D&gt;&lt;/FQL&gt;&lt;FQL&gt;&lt;Q&gt;CMS^JULIAN(FF_EPS(QTR_R,0).DATES)&lt;/Q&gt;&lt;R&gt;1&lt;/R&gt;&lt;C&gt;1&lt;/C&gt;&lt;D xsi:type="xsd:long"&gt;46022&lt;/D&gt;&lt;/FQL&gt;&lt;FQL&gt;&lt;Q&gt;BX^FF_EPS(QTR_R,0)&lt;/Q&gt;&lt;R&gt;1&lt;/R&gt;&lt;C&gt;1&lt;/C&gt;&lt;D xsi:type="xsd:double"&gt;1.2962&lt;/D&gt;&lt;/FQL&gt;&lt;FQL&gt;&lt;Q&gt;BEN^FE_ESTIMATE(EPS,MEAN,QTR_ROLL,-0,0,,,'')&lt;/Q&gt;&lt;R&gt;1&lt;/R&gt;&lt;C&gt;1&lt;/C&gt;&lt;D xsi:type="xsd:double"&gt;0.7&lt;/D&gt;&lt;/FQL&gt;&lt;FQL&gt;&lt;Q&gt;BAC^JULIAN(FF_EPS(QTR_R,0).DATES)&lt;/Q&gt;&lt;R&gt;1&lt;/R&gt;&lt;C&gt;1&lt;/C&gt;&lt;D xsi:type="xsd:long"&gt;46022&lt;/D&gt;&lt;/FQL&gt;&lt;FQL&gt;&lt;Q&gt;AVY^FF_EPS(QTR_R,0)&lt;/Q&gt;&lt;R&gt;1&lt;/R&gt;&lt;C&gt;1&lt;/C&gt;&lt;D xsi:type="xsd:double"&gt;2.1499&lt;/D&gt;&lt;/FQL&gt;&lt;FQL&gt;&lt;Q&gt;AES^JULIAN(FF_EPS(QTR_R,0).DATES)&lt;/Q&gt;&lt;R&gt;1&lt;/R&gt;&lt;C&gt;1&lt;/C&gt;&lt;D xsi:type="xsd:long"&gt;46022&lt;/D&gt;&lt;/FQL&gt;&lt;FQL&gt;&lt;Q&gt;ABT^JULIAN(FF_EPS(QTR_R,0).DATES)&lt;/Q&gt;&lt;R&gt;1&lt;/R&gt;&lt;C&gt;1&lt;/C&gt;&lt;D xsi:type="xsd:long"&gt;46022&lt;/D&gt;&lt;/FQL&gt;&lt;FQL&gt;&lt;Q&gt;YUM^FG_COMPANY_NAME&lt;/Q&gt;&lt;R&gt;1&lt;/R&gt;&lt;C&gt;1&lt;/C&gt;&lt;D xsi:type="xsd:string"&gt;Yum! Brands, Inc.&lt;/D&gt;&lt;/FQL&gt;&lt;FQL&gt;&lt;Q&gt;V^FG_COMPANY_NAME&lt;/Q&gt;&lt;R&gt;1&lt;/R&gt;&lt;C&gt;1&lt;/C&gt;&lt;D xsi:type="xsd:string"&gt;Visa Inc. Class A&lt;/D&gt;&lt;/FQL&gt;&lt;FQL&gt;&lt;Q&gt;TER^FG_COMPANY_NAME&lt;/Q&gt;&lt;R&gt;1&lt;/R&gt;&lt;C&gt;1&lt;/C&gt;&lt;D xsi:type="xsd:string"&gt;Teradyne, Inc.&lt;/D&gt;&lt;/FQL&gt;&lt;FQL&gt;&lt;Q&gt;SRE^FG_COMPANY_NAME&lt;/Q&gt;&lt;R&gt;1&lt;/R&gt;&lt;C&gt;1&lt;/C&gt;&lt;D xsi:type="xsd:string"&gt;Sempra&lt;/D&gt;&lt;/FQL&gt;&lt;FQL&gt;&lt;Q&gt;RVTY^FG_COMPANY_NAME&lt;/Q&gt;&lt;R&gt;1&lt;/R&gt;&lt;C&gt;1&lt;/C&gt;&lt;D xsi:type="xsd:string"&gt;Revvity, Inc.&lt;/D&gt;&lt;/FQL&gt;&lt;FQL&gt;&lt;Q&gt;NXPI^FG_COMPANY_NAME&lt;/Q&gt;&lt;R&gt;1&lt;/R&gt;&lt;C&gt;1&lt;/C&gt;&lt;D xsi:type="xsd:string"&gt;NXP Semiconductors NV&lt;/D&gt;&lt;/FQL&gt;&lt;FQL&gt;&lt;Q&gt;MS^FG_COMPANY_NAME&lt;/Q&gt;&lt;R&gt;1&lt;/R&gt;&lt;C&gt;1&lt;/C&gt;&lt;D xsi:type="xsd:string"&gt;Morgan Stanley&lt;/D&gt;&lt;/FQL&gt;&lt;FQL&gt;&lt;Q&gt;MLM^FG_COMPANY_NAME&lt;/Q&gt;&lt;R&gt;1&lt;/R&gt;&lt;C&gt;1&lt;/C&gt;&lt;D xsi:type="xsd:string"&gt;Martin Marietta Materials, Inc.&lt;/D&gt;&lt;/FQL&gt;&lt;FQL&gt;&lt;Q&gt;MAR^FG_COMPANY_NAME&lt;/Q&gt;&lt;R&gt;1&lt;/R&gt;&lt;C&gt;1&lt;/C&gt;&lt;D xsi:type="xsd:string"&gt;Marriott International, Inc. Class A&lt;/D&gt;&lt;/FQL&gt;&lt;FQL&gt;&lt;Q&gt;KLAC^FG_COMPANY_NAME&lt;/Q&gt;&lt;R&gt;1&lt;/R&gt;&lt;C&gt;1&lt;/C&gt;&lt;D xsi:type="xsd:string"&gt;KLA Corporation&lt;/D&gt;&lt;/FQL&gt;&lt;FQL&gt;&lt;Q&gt;HSIC^FG_COMPANY_NAME&lt;/Q&gt;&lt;R&gt;1&lt;/R&gt;&lt;C&gt;1&lt;/C&gt;&lt;D xsi:type="xsd:string"&gt;Henry Schein, Inc.&lt;/D&gt;&lt;/FQL&gt;&lt;FQL&gt;&lt;Q&gt;FIS^FG_COMPANY_NAME&lt;/Q&gt;&lt;R&gt;1&lt;/R&gt;&lt;C&gt;1&lt;/C&gt;&lt;D xsi:type="xsd:string"&gt;Fidelity National Information Services, Inc.&lt;/D&gt;&lt;/FQL&gt;&lt;FQL&gt;&lt;Q&gt;COO^FG_COMPANY_NAME&lt;/Q&gt;&lt;R&gt;1&lt;/R&gt;&lt;C&gt;1&lt;/C&gt;&lt;D xsi:type="xsd:string"&gt;Cooper Companies, Inc.&lt;/D&gt;&lt;/FQL&gt;&lt;FQL&gt;&lt;Q&gt;CI^FG_COMPANY_NAME&lt;/Q&gt;&lt;R&gt;1&lt;/R&gt;&lt;C&gt;1&lt;/C&gt;&lt;D xsi:type="xsd:string"&gt;Cigna Group&lt;/D&gt;&lt;/FQL&gt;&lt;FQL&gt;&lt;Q&gt;BRO^FG_COMPANY_NAME&lt;/Q&gt;&lt;R&gt;1&lt;/R&gt;&lt;C&gt;1&lt;/C&gt;&lt;D xsi:type="xsd:string"&gt;Brown &amp;amp; Brown, Inc.&lt;/D&gt;&lt;/FQL&gt;&lt;FQL&gt;&lt;Q&gt;AVB^FG_COMPANY_NAME&lt;/Q&gt;&lt;R&gt;1&lt;/R&gt;&lt;C&gt;1&lt;/C&gt;&lt;D xsi:type="xsd:string"&gt;AvalonBay Communities, Inc.&lt;/D&gt;&lt;/FQL&gt;&lt;FQL&gt;&lt;Q&gt;AJG^FG_COMPANY_NAME&lt;/Q&gt;&lt;R&gt;1&lt;/R&gt;&lt;C&gt;1&lt;/C&gt;&lt;D xsi:type="xsd:string"&gt;Arthur J. Gallagher &amp;amp; Co.&lt;/D&gt;&lt;/FQL&gt;&lt;FQL&gt;&lt;Q&gt;IP^JULIAN(FF_EPS(QTR_R,0).DATES)&lt;/Q&gt;&lt;R&gt;1&lt;/R&gt;&lt;C&gt;1&lt;/C&gt;&lt;D xsi:type="xsd:long"&gt;46022&lt;/D&gt;&lt;/FQL&gt;&lt;FQL&gt;&lt;Q&gt;TRV^JULIAN(FF_EPS(QTR_R,0).DATES)&lt;/Q&gt;&lt;R&gt;1&lt;/R&gt;&lt;C&gt;1&lt;/C&gt;&lt;D xsi:type="xsd:long"&gt;46022&lt;/D&gt;&lt;/FQL&gt;&lt;FQL&gt;&lt;Q&gt;TDG^FE_ESTIMATE(EPS,MEAN,QTR_ROLL,-0,0,,,'')&lt;/Q&gt;&lt;R&gt;1&lt;/R&gt;&lt;C&gt;1&lt;/C&gt;&lt;D xsi:type="xsd:double"&gt;8.23&lt;/D&gt;&lt;/FQL&gt;&lt;FQL&gt;&lt;Q&gt;REG^FF_EPS(QTR_R,0)&lt;/Q&gt;&lt;R&gt;1&lt;/R&gt;&lt;C&gt;1&lt;/C&gt;&lt;D xsi:type="xsd:double"&gt;1.0871&lt;/D&gt;&lt;/FQL&gt;&lt;FQL&gt;&lt;Q&gt;PRU^FF_EPS(QTR_R,0)&lt;/Q&gt;&lt;R&gt;1&lt;/R&gt;&lt;C&gt;1&lt;/C&gt;&lt;D xsi:type="xsd:double"&gt;2.5506&lt;/D&gt;&lt;/FQL&gt;&lt;FQL&gt;&lt;Q&gt;NXPI^FF_EPS(QTR_R,0)&lt;/Q&gt;&lt;R&gt;1&lt;/R&gt;&lt;C&gt;1&lt;/C&gt;&lt;D xsi:type="xsd:double"&gt;1.8017&lt;/D&gt;&lt;/FQL&gt;&lt;FQL&gt;&lt;Q&gt;MOS^FF_EPS(QTR_R,0)&lt;/Q&gt;&lt;R&gt;1&lt;/R&gt;&lt;C&gt;1&lt;/C&gt;&lt;D xsi:type="xsd:double"&gt;-1.6367&lt;/D&gt;&lt;/FQL&gt;&lt;FQL&gt;&lt;Q&gt;META^FE_ESTIMATE(EPS,MEAN,QTR_ROLL,-0,0,,,'')&lt;/Q&gt;&lt;R&gt;1&lt;/R&gt;&lt;C&gt;1&lt;/C&gt;&lt;D xsi:type="xsd:double"&gt;8.88&lt;/D&gt;&lt;/FQL&gt;&lt;FQL&gt;&lt;Q&gt;LNT^JULIAN(FF_EPS(QTR_R,0).DATES)&lt;/Q&gt;&lt;R&gt;1&lt;/R&gt;&lt;C&gt;1&lt;/C&gt;&lt;D xsi:type="xsd:long"&gt;46022&lt;/D&gt;&lt;/FQL&gt;&lt;FQL&gt;&lt;Q&gt;J^FF_EPS(QTR_R,0)&lt;/Q&gt;&lt;R&gt;1&lt;/R&gt;&lt;C&gt;1&lt;/C&gt;&lt;D xsi:type="xsd:double"&gt;1.1192&lt;/D&gt;&lt;/FQL&gt;&lt;FQL&gt;&lt;Q&gt;XEL^FE_ESTIMATE(EPS,MEAN,QTR_ROLL,-0,0,,,'')&lt;/Q&gt;&lt;R&gt;1&lt;/R&gt;&lt;C&gt;1&lt;/C&gt;&lt;D xsi:type="xsd:double"&gt;0.96&lt;/D&gt;&lt;/FQL&gt;&lt;FQL&gt;&lt;Q&gt;WAB^JULIAN(FF_EPS(QTR_R,0).DATES)&lt;/Q&gt;&lt;R&gt;1&lt;/R&gt;&lt;C&gt;1&lt;/C&gt;&lt;D xsi:type="xsd:long"&gt;46022&lt;/D&gt;&lt;/FQL&gt;&lt;FQL&gt;&lt;Q&gt;UPS^JULIAN(FF_EPS(QTR_R,0).DATES)&lt;/Q&gt;&lt;R&gt;1&lt;/R&gt;&lt;C&gt;1&lt;/C&gt;&lt;D xsi:type="xsd:long"&gt;46022&lt;/D&gt;&lt;/FQL&gt;&lt;FQL&gt;&lt;Q&gt;TDG^FF_EPS(QTR_R,0)&lt;/Q&gt;&lt;R&gt;1&lt;/R&gt;&lt;C&gt;1&lt;/C&gt;&lt;D xsi:type="xsd:double"&gt;6.6323&lt;/D&gt;&lt;/FQL&gt;&lt;FQL&gt;&lt;Q&gt;PHM^JULIAN(FF_EPS(QTR_R,0).DATES)&lt;/Q&gt;&lt;R&gt;1&lt;/R&gt;&lt;C&gt;1&lt;/C&gt;&lt;D xsi:type="xsd:long"&gt;46022&lt;/D&gt;&lt;/FQL&gt;&lt;FQL&gt;&lt;Q&gt;PAYC^FF_EPS(QTR_R,0)&lt;/Q&gt;&lt;R&gt;1&lt;/R&gt;&lt;C&gt;1&lt;/C&gt;&lt;D xsi:type="xsd:double"&gt;2.0653&lt;/D&gt;&lt;/FQL&gt;&lt;FQL&gt;&lt;Q&gt;NOC^FF_EPS(QTR_R,0)&lt;/Q&gt;&lt;R&gt;1&lt;/R&gt;&lt;C&gt;1&lt;/C&gt;&lt;D xsi:type="xsd:double"&gt;10.0495&lt;/D&gt;&lt;/FQL&gt;&lt;FQL&gt;&lt;Q&gt;MTCH^JULIAN(FF_EPS(QTR_R,0).DATES)&lt;/Q&gt;&lt;R&gt;1&lt;/R&gt;&lt;C&gt;1&lt;/C&gt;&lt;D xsi:type="xsd:long"&gt;46022&lt;/D&gt;&lt;/FQL&gt;&lt;FQL&gt;&lt;Q&gt;VZ^FE_ESTIMATE(EPS,MEAN,QTR_ROLL,-0,0,,,'')&lt;/Q&gt;&lt;R&gt;1&lt;/R&gt;&lt;C&gt;1&lt;/C&gt;&lt;D xsi:type="xsd:double"&gt;1.09&lt;/D&gt;&lt;/FQL&gt;&lt;FQL&gt;&lt;Q&gt;TROW^FF_EPS(QTR_R,0)&lt;/Q&gt;&lt;R&gt;1&lt;/R&gt;&lt;C&gt;1&lt;/C&gt;&lt;D xsi:type="xsd:double"&gt;1.9881&lt;/D&gt;&lt;/FQL&gt;&lt;FQL&gt;&lt;Q&gt;SRE^FF_EPS(QTR_R,0)&lt;/Q&gt;&lt;R&gt;1&lt;/R&gt;&lt;C&gt;1&lt;/C&gt;&lt;D xsi:type="xsd:double"&gt;0.5374&lt;/D&gt;&lt;/FQL&gt;&lt;FQL&gt;&lt;Q&gt;SBAC^JULIAN(FF_EPS(QTR_R,0).DATES)&lt;/Q&gt;&lt;R&gt;1&lt;/R&gt;&lt;C&gt;1&lt;/C&gt;&lt;D xsi:type="xsd:long"&gt;46022&lt;/D&gt;&lt;/FQL&gt;&lt;FQL&gt;&lt;Q&gt;REG^JULIAN(FF_EPS(QTR_R,0).DATES)&lt;/Q&gt;&lt;R&gt;1&lt;/R&gt;&lt;C&gt;1&lt;/C&gt;&lt;D xsi:type="xsd:long"&gt;46022&lt;/D&gt;&lt;/FQL&gt;&lt;FQL&gt;&lt;Q&gt;PARA^FE_ESTIMATE(EPS,MEAN,QTR_ROLL,-0,0,,,'')&lt;/Q&gt;&lt;R&gt;1&lt;/R&gt;&lt;C&gt;1&lt;/C&gt;&lt;D xsi:type="xsd:double"&gt;-0.12&lt;/D&gt;&lt;/FQL&gt;&lt;FQL&gt;&lt;Q&gt;MTB^FE_ESTIMATE(EPS,MEAN,QTR_ROLL,-0,0,,,'')&lt;/Q&gt;&lt;R&gt;1&lt;/R&gt;&lt;C&gt;1&lt;/C&gt;&lt;D xsi:type="xsd:double"&gt;4.67&lt;/D&gt;&lt;/FQL&gt;&lt;FQL&gt;&lt;Q&gt;KR^FE_ESTIMATE(EPS,MEAN,QTR_ROLL,-0,0,,,'')&lt;/Q&gt;&lt;R&gt;1&lt;/R&gt;&lt;C&gt;1&lt;/C&gt;&lt;D xsi:type="xsd:double"&gt;1.28&lt;/D&gt;&lt;/FQL&gt;&lt;FQL&gt;&lt;Q&gt;KDP^FE_ESTIMATE(EPS,MEAN,QTR_ROLL,-0,0,,,'')&lt;/Q&gt;&lt;R&gt;1&lt;/R&gt;&lt;C&gt;1&lt;/C&gt;&lt;D xsi:type="xsd:double"&gt;0.6&lt;/D&gt;&lt;/FQL&gt;&lt;FQL&gt;&lt;Q&gt;IVZ^FE_ESTIMATE(EPS,MEAN,QTR_ROLL,-0,0,,,'')&lt;/Q&gt;&lt;R&gt;1&lt;/R&gt;&lt;C&gt;1&lt;/C&gt;&lt;D xsi:type="xsd:double"&gt;0.62&lt;/D&gt;&lt;/FQL&gt;&lt;FQL&gt;&lt;Q&gt;INVH^FF_EPS(QTR_R,0)&lt;/Q&gt;&lt;R&gt;1&lt;/R&gt;&lt;C&gt;1&lt;/C&gt;&lt;D xsi:type="xsd:double"&gt;0.1466&lt;/D&gt;&lt;/FQL&gt;&lt;FQL&gt;&lt;Q&gt;HPE^FF_EPS(QTR_R,0)&lt;/Q&gt;&lt;R&gt;1&lt;/R&gt;&lt;C&gt;1&lt;/C&gt;&lt;D xsi:type="xsd:double"&gt;0.312&lt;/D&gt;&lt;/FQL&gt;&lt;FQL&gt;&lt;Q&gt;DOW^FE_ESTIMATE(EPS,MEAN,QTR_ROLL,-0,0,,,'')&lt;/Q&gt;&lt;R&gt;1&lt;/R&gt;&lt;C&gt;1&lt;/C&gt;&lt;D xsi:type="xsd:double"&gt;-0.34&lt;/D&gt;&lt;/FQL&gt;&lt;FQL&gt;&lt;Q&gt;CSGP^FF_EPS(QTR_R,0)&lt;/Q&gt;&lt;R&gt;1&lt;/R&gt;&lt;C&gt;1&lt;/C&gt;&lt;D xsi:type="xsd:double"&gt;0.112&lt;/D&gt;&lt;/FQL&gt;&lt;FQL&gt;&lt;Q&gt;COO^FF_EPS(QTR_R,0)&lt;/Q&gt;&lt;R&gt;1&lt;/R&gt;&lt;C&gt;1&lt;/C&gt;&lt;D xsi:type="xsd:double"&gt;0.665&lt;/D&gt;&lt;/FQL&gt;&lt;FQL&gt;&lt;Q&gt;CHRW^JULIAN(FF_EPS(QTR_R,0).DATES)&lt;/Q&gt;&lt;R&gt;1&lt;/R&gt;&lt;C&gt;1&lt;/C&gt;&lt;D xsi:type="xsd:long"&gt;46022&lt;/D&gt;&lt;/FQL&gt;&lt;FQL&gt;&lt;Q&gt;CDW^FE_ESTIMATE(EPS,MEAN,QTR_ROLL,-0,0,,,'')&lt;/Q&gt;&lt;R&gt;1&lt;/R&gt;&lt;C&gt;1&lt;/C&gt;&lt;D xsi:type="xsd:double"&gt;2.57&lt;/D&gt;&lt;/FQL&gt;&lt;FQL&gt;&lt;Q&gt;CBRE^FF_EPS(QTR_R,0)&lt;/Q&gt;&lt;R&gt;1&lt;/R&gt;&lt;C&gt;1&lt;/C&gt;&lt;D xsi:type="xsd:double"&gt;1.3873&lt;/D&gt;&lt;/FQL&gt;&lt;FQL&gt;&lt;Q&gt;CAH^FF_EPS(QTR_R,0)&lt;/Q&gt;&lt;R&gt;1&lt;/R&gt;&lt;C&gt;1&lt;/C&gt;&lt;D xsi:type="xsd:double"&gt;1.9705&lt;/D&gt;&lt;/FQL&gt;&lt;FQL&gt;&lt;Q&gt;BSX^FE_ESTIMATE(EPS,MEAN,QTR_ROLL,-0,0,,,'')&lt;/Q&gt;&lt;R&gt;1&lt;/R&gt;&lt;C&gt;1&lt;/C&gt;&lt;D xsi:type="xsd:double"&gt;0.8&lt;/D&gt;&lt;/FQL&gt;&lt;FQL&gt;&lt;Q&gt;BDX^FF_EPS(QTR_R,0)&lt;/Q&gt;&lt;R&gt;1&lt;/R&gt;&lt;C&gt;1&lt;/C&gt;&lt;D xsi:type="xsd:double"&gt;1.3364&lt;/D&gt;&lt;/FQL&gt;&lt;FQL&gt;&lt;Q&gt;AMGN^FF_EPS(QTR_R,0)&lt;/Q&gt;&lt;R&gt;1&lt;/R&gt;&lt;C&gt;1&lt;/C&gt;&lt;D xsi:type="xsd:double"&gt;2.4549&lt;/D&gt;&lt;/FQL&gt;&lt;FQL&gt;&lt;Q&gt;ADBE^FE_ESTIMATE(EPS,MEAN,QTR_ROLL,-0,0,,,'')&lt;/Q&gt;&lt;R&gt;1&lt;/R&gt;&lt;C&gt;1&lt;/C&gt;&lt;D xsi:type="xsd:double"&gt;6.06&lt;/D&gt;&lt;/FQL&gt;&lt;FQL&gt;&lt;Q&gt;ABBV^FF_EPS(QTR_R,0)&lt;/Q&gt;&lt;R&gt;1&lt;/R&gt;&lt;C&gt;1&lt;/C&gt;&lt;D xsi:type="xsd:double"&gt;1.018&lt;/D&gt;&lt;/FQL&gt;&lt;FQL&gt;&lt;Q&gt;TDG^FG_COMPANY_NAME&lt;/Q&gt;&lt;R&gt;1&lt;/R&gt;&lt;C&gt;1&lt;/C&gt;&lt;D xsi:type="xsd:string"&gt;TransDigm Group Incorporated&lt;/D&gt;&lt;/FQL&gt;&lt;FQL&gt;&lt;Q&gt;PYPL^FG_COMPANY_NAME&lt;/Q&gt;&lt;R&gt;1&lt;/R&gt;&lt;C&gt;1&lt;/C&gt;&lt;D xsi:type="xsd:string"&gt;PayPal Holdings, Inc.&lt;/D&gt;&lt;/FQL&gt;&lt;FQL&gt;&lt;Q&gt;PLTR^FG_COMPANY_NAME&lt;/Q&gt;&lt;R&gt;1&lt;/R&gt;&lt;C&gt;1&lt;/C&gt;&lt;D xsi:type="xsd:string"&gt;Palantir Technologies Inc. Class A&lt;/D&gt;&lt;/FQL&gt;&lt;FQL&gt;&lt;Q&gt;PAYC^FG_COMPANY_NAME&lt;/Q&gt;&lt;R&gt;1&lt;/R&gt;&lt;C&gt;1&lt;/C&gt;&lt;D xsi:type="xsd:string"&gt;Paycom Software, Inc.&lt;/D&gt;&lt;/FQL&gt;&lt;FQL&gt;&lt;Q&gt;NEE^FG_COMPANY_NAME&lt;/Q&gt;&lt;R&gt;1&lt;/R&gt;&lt;C&gt;1&lt;/C&gt;&lt;D xsi:type="xsd:string"&gt;NextEra Energy, Inc.&lt;/D&gt;&lt;/FQL&gt;&lt;FQL&gt;&lt;Q&gt;MRNA^FG_COMPANY_NAME&lt;/Q&gt;&lt;R&gt;1&lt;/R&gt;&lt;C&gt;1&lt;/C&gt;&lt;D xsi:type="xsd:string"&gt;Moderna, Inc.&lt;/D&gt;&lt;/FQL&gt;&lt;FQL&gt;&lt;Q&gt;MKC^FG_COMPANY_NAME&lt;/Q&gt;&lt;R&gt;1&lt;/R&gt;&lt;C&gt;1&lt;/C&gt;&lt;D xsi:type="xsd:string"&gt;McCormick &amp;amp; Company, Incorporated&lt;/D&gt;&lt;/FQL&gt;&lt;FQL&gt;&lt;Q&gt;J^FG_COMPANY_NAME&lt;/Q&gt;&lt;R&gt;1&lt;/R&gt;&lt;C&gt;1&lt;/C&gt;&lt;D xsi:type="xsd:string"&gt;Jacobs Solutions Inc.&lt;/D&gt;&lt;/FQL&gt;&lt;FQL&gt;&lt;Q&gt;IFF^FG_COMPANY_NAME&lt;/Q&gt;&lt;R&gt;1&lt;/R&gt;&lt;C&gt;1&lt;/C&gt;&lt;D xsi:type="xsd:string"&gt;International Flavors &amp;amp; Fragrances Inc.&lt;/D&gt;&lt;/FQL&gt;&lt;FQL&gt;&lt;Q&gt;GOOGL^FG_COMPANY_NAME&lt;/Q&gt;&lt;R&gt;1&lt;/R&gt;&lt;C&gt;1&lt;/C&gt;&lt;D xsi:type="xsd:string"&gt;Alphabet Inc. Class A&lt;/D&gt;&lt;/FQL&gt;&lt;FQL&gt;&lt;Q&gt;EMN^FG_COMPANY_NAME&lt;/Q&gt;&lt;R&gt;1&lt;/R&gt;&lt;C&gt;1&lt;/C&gt;&lt;D xsi:type="xsd:string"&gt;Eastman Chemical Company&lt;/D&gt;&lt;/FQL&gt;&lt;FQL&gt;&lt;Q&gt;DPZ^FG_COMPANY_NAME&lt;/Q&gt;&lt;R&gt;1&lt;/R&gt;&lt;C&gt;1&lt;/C&gt;&lt;D xsi:type="xsd:string"&gt;Domino's Pizza, Inc.&lt;/D&gt;&lt;/FQL&gt;&lt;FQL&gt;&lt;Q&gt;DD^FG_COMPANY_NAME&lt;/Q&gt;&lt;R&gt;1&lt;/R&gt;&lt;C&gt;1&lt;/C&gt;&lt;D xsi:type="xsd:string"&gt;DuPont de Nemours, Inc.&lt;/D&gt;&lt;/FQL&gt;&lt;FQL&gt;&lt;Q&gt;CRWD^FG_COMPANY_NAME&lt;/Q&gt;&lt;R&gt;1&lt;/R&gt;&lt;C&gt;1&lt;/C&gt;&lt;D xsi:type="xsd:string"&gt;CrowdStrike Holdings, Inc. Class A&lt;/D&gt;&lt;/FQL&gt;&lt;FQL&gt;&lt;Q&gt;CB^FG_COMPANY_NAME&lt;/Q&gt;&lt;R&gt;1&lt;/R&gt;&lt;C&gt;1&lt;/C&gt;&lt;D xsi:type="xsd:string"&gt;Chubb Limited&lt;/D&gt;&lt;/FQL&gt;&lt;FQL&gt;&lt;Q&gt;VTRS^FE_ESTIMATE(EPS,MEAN,QTR_ROLL,-0,0,,,'')&lt;/Q&gt;&lt;R&gt;1&lt;/R&gt;&lt;C&gt;1&lt;/C&gt;&lt;D xsi:type="xsd:double"&gt;0.57&lt;/D&gt;&lt;/FQL&gt;&lt;FQL&gt;&lt;Q&gt;ULTA^FF_EPS(QTR_R,0)&lt;/Q&gt;&lt;R&gt;1&lt;/R&gt;&lt;C&gt;1&lt;/C&gt;&lt;D xsi:type="xsd:double"&gt;8.0114&lt;/D&gt;&lt;/FQL&gt;&lt;FQL&gt;&lt;Q&gt;SPG^FE_ESTIMATE(EPS,MEAN,QTR_ROLL,-0,0,,,'')&lt;/Q&gt;&lt;R&gt;1&lt;/R&gt;&lt;C&gt;1&lt;/C&gt;&lt;D xsi:type="xsd:double"&gt;9.35&lt;/D&gt;&lt;/FQL&gt;&lt;FQL&gt;&lt;Q&gt;RVTY^JULIAN(FF_EPS(QTR_R,0).DATES)&lt;/Q&gt;&lt;R&gt;1&lt;/R&gt;&lt;C&gt;1&lt;/C&gt;&lt;D xsi:type="xsd:long"&gt;46022&lt;/D&gt;&lt;/FQL&gt;&lt;FQL&gt;&lt;Q&gt;RE^JULIAN(FF_EPS(QTR_R,0).DATES)&lt;/Q&gt;&lt;R&gt;1&lt;/R&gt;&lt;C&gt;1&lt;/C&gt;&lt;D xsi:type="xsd:long"&gt;46022&lt;/D&gt;&lt;/FQL&gt;&lt;FQL&gt;&lt;Q&gt;PARA^FF_EPS(QTR_R,0)&lt;/Q&gt;&lt;R&gt;1&lt;/R&gt;&lt;C&gt;1&lt;/C&gt;&lt;D xsi:type="xsd:double"&gt;-0.5172&lt;/D&gt;&lt;/FQL&gt;&lt;FQL&gt;&lt;Q&gt;NWSA^JULIAN(FF_EPS(QTR_R,0).DATES)&lt;/Q&gt;&lt;R&gt;1&lt;/R&gt;&lt;C&gt;1&lt;/C&gt;&lt;D xsi:type="xsd:long"&gt;46022&lt;/D&gt;&lt;/FQL&gt;&lt;FQL&gt;&lt;Q&gt;MSI^FF_EPS(QTR_R,0)&lt;/Q&gt;&lt;R&gt;1&lt;/R&gt;&lt;C&gt;1&lt;/C&gt;&lt;D xsi:type="xsd:double"&gt;3.8608&lt;/D&gt;&lt;/FQL&gt;&lt;FQL&gt;&lt;Q&gt;LLY^FE_ESTIMATE(EPS,MEAN,QTR_ROLL,-0,0,,,'')&lt;/Q&gt;&lt;R&gt;1&lt;/R&gt;&lt;C&gt;1&lt;/C&gt;&lt;D xsi:type="xsd:double"&gt;7.54&lt;/D&gt;&lt;/FQL&gt;&lt;FQL&gt;&lt;Q&gt;KO^FF_EPS(QTR_R,0)&lt;/Q&gt;&lt;R&gt;1&lt;/R&gt;&lt;C&gt;1&lt;/C&gt;&lt;D xsi:type="xsd:double"&gt;0.5266&lt;/D&gt;&lt;/FQL&gt;&lt;FQL&gt;&lt;Q&gt;IVZ^FF_EPS(QTR_R,0)&lt;/Q&gt;&lt;R&gt;1&lt;/R&gt;&lt;C&gt;1&lt;/C&gt;&lt;D xsi:type="xsd:double"&gt;-2.629&lt;/D&gt;&lt;/FQL&gt;&lt;FQL&gt;&lt;Q&gt;HON^FE_ESTIMATE(EPS,MEAN,QTR_ROLL,-0,0,,,'')&lt;/Q&gt;&lt;R&gt;1&lt;/R&gt;&lt;C&gt;1&lt;/C&gt;&lt;D xsi:type="xsd:double"&gt;2.59&lt;/D&gt;&lt;/FQL&gt;&lt;FQL&gt;&lt;Q&gt;FTNT^FF_EPS(QTR_R,0)&lt;/Q&gt;&lt;R&gt;1&lt;/R&gt;&lt;C&gt;1&lt;/C&gt;&lt;D xsi:type="xsd:double"&gt;0.6765&lt;/D&gt;&lt;/FQL&gt;&lt;FQL&gt;&lt;Q&gt;FICO^FE_ESTIMATE(EPS,MEAN,QTR_ROLL,-0,0,,,'')&lt;/Q&gt;&lt;R&gt;1&lt;/R&gt;&lt;C&gt;1&lt;/C&gt;&lt;D xsi:type="xsd:double"&gt;7.33&lt;/D&gt;&lt;/FQL&gt;&lt;FQL&gt;&lt;Q&gt;EVRG^FE_ESTIMATE(EPS,MEAN,QTR_ROLL,-0,0,,,'')&lt;/Q&gt;&lt;R&gt;1&lt;/R&gt;&lt;C&gt;1&lt;/C&gt;&lt;D xsi:type="xsd:double"&gt;0.42&lt;/D&gt;&lt;/FQL&gt;&lt;FQL&gt;&lt;Q&gt;EQIX^FE_ESTIMATE(EPS,MEAN,QTR_ROLL,-0,0,,,'')&lt;/Q&gt;&lt;R&gt;1&lt;/R&gt;&lt;C&gt;1&lt;/C&gt;&lt;D xsi:type="xsd:double"&gt;2.69&lt;/D&gt;&lt;/FQL&gt;&lt;FQL&gt;&lt;Q&gt;DGX^JULIAN(FF_EPS(QTR_R,0).DATES)&lt;/Q&gt;&lt;R&gt;1&lt;/R&gt;&lt;C&gt;1&lt;/C&gt;&lt;D xsi:type="xsd:long"&gt;46022&lt;/D&gt;&lt;/FQL&gt;&lt;FQL&gt;&lt;Q&gt;CTSH^FF_EPS(QTR_R,0)&lt;/Q&gt;&lt;R&gt;1&lt;/R&gt;&lt;C&gt;1&lt;/C&gt;&lt;D xsi:type="xsd:double"&gt;1.3444&lt;/D&gt;&lt;/FQL&gt;&lt;FQL&gt;&lt;Q&gt;CSGP^JULIAN(FF_EPS(QTR_R,0).DATES)&lt;/Q&gt;&lt;R&gt;1&lt;/R&gt;&lt;C&gt;1&lt;/C&gt;&lt;D xsi:type="xsd:long"&gt;46022&lt;/D&gt;&lt;/FQL&gt;&lt;FQL&gt;&lt;Q&gt;CPRT^JULIAN(FF_EPS(QTR_R,0).DATES)&lt;/Q&gt;&lt;R&gt;1&lt;/R&gt;&lt;C&gt;1&lt;/C&gt;&lt;D xsi:type="xsd:long"&gt;46052&lt;/D&gt;&lt;/FQL&gt;&lt;FQL&gt;&lt;Q&gt;CMI^FF_EPS(QTR_R,0)&lt;/Q&gt;&lt;R&gt;1&lt;/R&gt;&lt;C&gt;1&lt;/C&gt;&lt;D xsi:type="xsd:double"&gt;4.2662&lt;/D&gt;&lt;/FQL&gt;&lt;FQL&gt;&lt;Q&gt;CL^FF_EPS(QTR_R,0)&lt;/Q&gt;&lt;R&gt;1&lt;/R&gt;&lt;C&gt;1&lt;/C&gt;&lt;D xsi:type="xsd:double"&gt;-0.046&lt;/D&gt;&lt;/FQL&gt;&lt;FQL&gt;&lt;Q&gt;CHD^FE_ESTIMATE(EPS,MEAN,QTR_ROLL,-0,0,,,'')&lt;/Q&gt;&lt;R&gt;1&lt;/R&gt;&lt;C&gt;1&lt;/C&gt;&lt;D xsi:type="xsd:double"&gt;0.86&lt;/D&gt;&lt;/FQL&gt;&lt;FQL&gt;&lt;Q&gt;CDW^JULIAN(FF_EPS(QTR_R,0).DATES)&lt;/Q&gt;&lt;R&gt;1&lt;/R&gt;&lt;C&gt;1&lt;/C&gt;&lt;D xsi:type="xsd:long"&gt;46022&lt;/D&gt;&lt;/FQL&gt;&lt;FQL&gt;&lt;Q&gt;BIO^FF_EPS(QTR_R,0)&lt;/Q&gt;&lt;R&gt;1&lt;/R&gt;&lt;C&gt;1&lt;/C&gt;&lt;D xsi:type="xsd:double"&gt;26.6548&lt;/D&gt;&lt;/FQL&gt;&lt;FQL&gt;&lt;Q&gt;BDX^JULIAN(FF_EPS(QTR_R,0).DATES)&lt;/Q&gt;&lt;R&gt;1&lt;/R&gt;&lt;C&gt;1&lt;/C&gt;&lt;D xsi:type="xsd:long"&gt;46022&lt;/D&gt;&lt;/FQL&gt;&lt;FQL&gt;&lt;Q&gt;BA^FF_EPS(QTR_R,0)&lt;/Q&gt;&lt;R&gt;1&lt;/R&gt;&lt;C&gt;1&lt;/C&gt;&lt;D xsi:type="xsd:double"&gt;10.1182&lt;/D&gt;&lt;/FQL&gt;&lt;FQL&gt;&lt;Q&gt;AVB^FE_ESTIMATE(EPS,MEAN,QTR_ROLL,-0,0,,,'')&lt;/Q&gt;&lt;R&gt;1&lt;/R&gt;&lt;C&gt;1&lt;/C&gt;&lt;D xsi:type="xsd:double"&gt;1.17&lt;/D&gt;&lt;/FQL&gt;&lt;FQL&gt;&lt;Q&gt;ANSS^FF_EPS(QTR_R,0)&lt;/Q&gt;&lt;R&gt;1&lt;/R&gt;&lt;C&gt;1&lt;/C&gt;&lt;D xsi:type="xsd:double"&gt;0.5885&lt;/D&gt;&lt;/FQL&gt;&lt;FQL&gt;&lt;Q&gt;ALLE^FF_EPS(QTR_R,0)&lt;/Q&gt;&lt;R&gt;1&lt;/R&gt;&lt;C&gt;1&lt;/C&gt;&lt;D xsi:type="xsd:double"&gt;1.7032&lt;/D&gt;&lt;/FQL&gt;&lt;FQL&gt;&lt;Q&gt;AIZ^FE_ESTIMATE(EPS,MEAN,QTR_ROLL,-0,0,,,'')&lt;/Q&gt;&lt;R&gt;1&lt;/R&gt;&lt;C&gt;1&lt;/C&gt;&lt;D xsi:type="xsd:double"&gt;5.61&lt;/D&gt;&lt;/FQL&gt;&lt;FQL&gt;&lt;Q&gt;AEP^JULIAN(FF_EPS(QTR_R,0).DATES)&lt;/Q&gt;&lt;R&gt;1&lt;/R&gt;&lt;C&gt;1&lt;/C&gt;&lt;D xsi:type="xsd:long"&gt;46022&lt;/D&gt;&lt;/FQL&gt;&lt;FQL&gt;&lt;Q&gt;XOM^FG_COMPANY_NAME&lt;/Q&gt;&lt;R&gt;1&lt;/R&gt;&lt;C&gt;1&lt;/C&gt;&lt;D xsi:type="xsd:string"&gt;Exxon Mobil Corporation&lt;/D&gt;&lt;/FQL&gt;&lt;FQL&gt;&lt;Q&gt;WAB^FG_COMPANY_NAME&lt;/Q&gt;&lt;R&gt;1&lt;/R&gt;&lt;C&gt;1&lt;/C&gt;&lt;D xsi:type="xsd:string"&gt;Westinghouse Air Brake Technologies Corporation&lt;/D&gt;&lt;/FQL&gt;&lt;FQL&gt;&lt;Q&gt;TRV^FG_COMPANY_NAME&lt;/Q&gt;&lt;R&gt;1&lt;/R&gt;&lt;C&gt;1&lt;/C&gt;&lt;D xsi:type="xsd:string"&gt;Travelers Companies, Inc.&lt;/D&gt;&lt;/FQL&gt;&lt;FQL&gt;&lt;Q&gt;PXD^FG_COMPANY_NAME&lt;/Q&gt;&lt;R&gt;1&lt;/R&gt;&lt;C&gt;1&lt;/C&gt;&lt;D xsi:type="xsd:string"&gt;Pioneer Natural Resources Company&lt;/D&gt;&lt;/FQL&gt;&lt;FQL&gt;&lt;Q&gt;LYV^FG_COMPANY_NAME&lt;/Q&gt;&lt;R&gt;1&lt;/R&gt;&lt;C&gt;1&lt;/C&gt;&lt;D xsi:type="xsd:string"&gt;Live Nation Entertainment, Inc.&lt;/D&gt;&lt;/FQL&gt;&lt;FQL&gt;&lt;Q&gt;KEYS^FG_COMPANY_NAME&lt;/Q&gt;&lt;R&gt;1&lt;/R&gt;&lt;C&gt;1&lt;/C&gt;&lt;D xsi:type="xsd:string"&gt;Keysight Technologies Inc&lt;/D&gt;&lt;/FQL&gt;&lt;FQL&gt;&lt;Q&gt;HPQ^FG_COMPANY_NAME&lt;/Q&gt;&lt;R&gt;1&lt;/R&gt;&lt;C&gt;1&lt;/C&gt;&lt;D xsi:type="xsd:string"&gt;HP Inc.&lt;/D&gt;&lt;/FQL&gt;&lt;FQL&gt;&lt;Q&gt;GOOG^FG_COMPANY_NAME&lt;/Q&gt;&lt;R&gt;1&lt;/R&gt;&lt;C&gt;1&lt;/C&gt;&lt;D xsi:type="xsd:string"&gt;Alphabet Inc. Class C&lt;/D&gt;&lt;/FQL&gt;&lt;FQL&gt;&lt;Q&gt;EVRG^FG_COMPANY_NAME&lt;/Q&gt;&lt;R&gt;1&lt;/R&gt;&lt;C&gt;1&lt;/C&gt;&lt;D xsi:type="xsd:string"&gt;Evergy, Inc.&lt;/D&gt;&lt;/FQL&gt;&lt;FQL&gt;&lt;Q&gt;EIX^FG_COMPANY_NAME&lt;/Q&gt;&lt;R&gt;1&lt;/R&gt;&lt;C&gt;1&lt;/C&gt;&lt;D xsi:type="xsd:string"&gt;Edison International&lt;/D&gt;&lt;/FQL&gt;&lt;FQL&gt;&lt;Q&gt;CNP^FG_COMPANY_NAME&lt;/Q&gt;&lt;R&gt;1&lt;/R&gt;&lt;C&gt;1&lt;/C&gt;&lt;D xsi:type="xsd:string"&gt;CenterPoint Energy, Inc.&lt;/D&gt;&lt;/FQL&gt;&lt;FQL&gt;&lt;Q&gt;CFG^FG_COMPANY_NAME&lt;/Q&gt;&lt;R&gt;1&lt;/R&gt;&lt;C&gt;1&lt;/C&gt;&lt;D xsi:type="xsd:string"&gt;Citizens Financial Group, Inc.&lt;/D&gt;&lt;/FQL&gt;&lt;FQL&gt;&lt;Q&gt;BBWI^FG_COMPANY_NAME&lt;/Q&gt;&lt;R&gt;1&lt;/R&gt;&lt;C&gt;1&lt;/C&gt;&lt;D xsi:type="xsd:string"&gt;Bath &amp;amp; Body Works, Inc.&lt;/D&gt;&lt;/FQL&gt;&lt;FQL&gt;&lt;Q&gt;APTV^FG_COMPANY_NAME&lt;/Q&gt;&lt;R&gt;1&lt;/R&gt;&lt;C&gt;1&lt;/C&gt;&lt;D xsi:type="xsd:string"&gt;Aptiv PLC&lt;/D&gt;&lt;/FQL&gt;&lt;FQL&gt;&lt;Q&gt;AME^FG_COMPANY_NAME&lt;/Q&gt;&lt;R&gt;1&lt;/R&gt;&lt;C&gt;1&lt;/C&gt;&lt;D xsi:type="xsd:string"&gt;AMETEK, Inc.&lt;/D&gt;&lt;/FQL&gt;&lt;FQL&gt;&lt;Q&gt;AIG^FG_COMPANY_NAME&lt;/Q&gt;&lt;R&gt;1&lt;/R&gt;&lt;C&gt;1&lt;/C&gt;&lt;D xsi:type="xsd:string"&gt;American International Group, Inc.&lt;/D&gt;&lt;/FQL&gt;&lt;FQL&gt;&lt;Q&gt;ABNB^FG_COMPANY_NAME&lt;/Q&gt;&lt;R&gt;1&lt;/R&gt;&lt;C&gt;1&lt;/C&gt;&lt;D xsi:type="xsd:string"&gt;Airbnb, Inc. Class A&lt;/D&gt;&lt;/FQL&gt;&lt;FQL&gt;&lt;Q&gt;WMT^FE_ESTIMATE(EPS,MEAN,QTR_ROLL,-0,0,,,'')&lt;/Q&gt;&lt;R&gt;1&lt;/R&gt;&lt;C&gt;1&lt;/C&gt;&lt;D xsi:type="xsd:double"&gt;0.74&lt;/D&gt;&lt;/FQL&gt;&lt;FQL&gt;&lt;Q&gt;SYF^FE_ESTIMATE(EPS,MEAN,QTR_ROLL,-0,0,,,'')&lt;/Q&gt;&lt;R&gt;1&lt;/R&gt;&lt;C&gt;1&lt;/C&gt;&lt;D xsi:type="xsd:double"&gt;2.04&lt;/D&gt;&lt;/FQL&gt;&lt;FQL&gt;&lt;Q&gt;ORLY^FF_EPS(QTR_R,0)&lt;/Q&gt;&lt;R&gt;1&lt;/R&gt;&lt;C&gt;1&lt;/C&gt;&lt;D xsi:type="xsd:double"&gt;0.7134&lt;/D&gt;&lt;/FQL&gt;&lt;FQL&gt;&lt;Q&gt;MOS^JULIAN(FF_EPS(QTR_R,0).DATES)&lt;/Q&gt;&lt;R&gt;1&lt;/R&gt;&lt;C&gt;1&lt;/C&gt;&lt;D xsi:type="xsd:long"&gt;46022&lt;/D&gt;&lt;/FQL&gt;&lt;FQL&gt;&lt;Q&gt;LH^FE_ESTIMATE(EPS,MEAN,QTR_ROLL,-0,0,,,'')&lt;/Q&gt;&lt;R&gt;1&lt;/R&gt;&lt;C&gt;1&lt;/C&gt;&lt;D xsi:type="xsd:double"&gt;4.07&lt;/D&gt;&lt;/FQL&gt;&lt;FQL&gt;&lt;Q&gt;JNPR^JULIAN(FF_EPS(QTR_R,0).DATES)&lt;/Q&gt;&lt;R&gt;1&lt;/R&gt;&lt;C&gt;1&lt;/C&gt;&lt;D xsi:type="xsd:long"&gt;45838&lt;/D&gt;&lt;/FQL&gt;&lt;FQL&gt;&lt;Q&gt;INCY^FF_EPS(QTR_R,0)&lt;/Q&gt;&lt;R&gt;1&lt;/R&gt;&lt;C&gt;1&lt;/C&gt;&lt;D xsi:type="xsd:double"&gt;1.4616&lt;/D&gt;&lt;/FQL&gt;&lt;FQL&gt;&lt;Q&gt;HST^FF_EPS(QTR_R,0)&lt;/Q&gt;&lt;R&gt;1&lt;/R&gt;&lt;C&gt;1&lt;/C&gt;&lt;D xsi:type="xsd:double"&gt;0.1955&lt;/D&gt;&lt;/FQL&gt;&lt;FQL&gt;&lt;Q&gt;GOOGL^FF_EPS(QTR_R,0)&lt;/Q&gt;&lt;R&gt;1&lt;/R&gt;&lt;C&gt;1&lt;/C&gt;&lt;D xsi:type="xsd:double"&gt;2.8177&lt;/D&gt;&lt;/FQL&gt;&lt;FQL&gt;&lt;Q&gt;FE^FE_ESTIMATE(EPS,MEAN,QTR_ROLL,-0,0,,,'')&lt;/Q&gt;&lt;R&gt;1&lt;/R&gt;&lt;C&gt;1&lt;/C&gt;&lt;D xsi:type="xsd:double"&gt;0.53&lt;/D&gt;&lt;/FQL&gt;&lt;FQL&gt;&lt;Q&gt;EXC^FF_EPS(QTR_R,0)&lt;/Q&gt;&lt;R&gt;1&lt;/R&gt;&lt;C&gt;1&lt;/C&gt;&lt;D xsi:type="xsd:double"&gt;0.5848&lt;/D&gt;&lt;/FQL&gt;&lt;FQL&gt;&lt;Q&gt;EBAY^FE_ESTIMATE(EPS,MEAN,QTR_ROLL,-0,0,,,'')&lt;/Q&gt;&lt;R&gt;1&lt;/R&gt;&lt;C&gt;1&lt;/C&gt;&lt;D xsi:type="xsd:double"&gt;1.41&lt;/D&gt;&lt;/FQL&gt;&lt;FQL&gt;&lt;Q&gt;CRM^FF_EPS(QTR_R,0)&lt;/Q&gt;&lt;R&gt;1&lt;/R&gt;&lt;C&gt;1&lt;/C&gt;&lt;D xsi:type="xsd:double"&gt;2.067&lt;/D&gt;&lt;/FQL&gt;&lt;FQL&gt;&lt;Q&gt;CHRW^FE_ESTIMATE(EPS,MEAN,QTR_ROLL,-0,0,,,'')&lt;/Q&gt;&lt;R&gt;1&lt;/R&gt;&lt;C&gt;1&lt;/C&gt;&lt;D xsi:type="xsd:double"&gt;1.23&lt;/D&gt;&lt;/FQL&gt;&lt;FQL&gt;&lt;Q&gt;CARR^JULIAN(FF_EPS(QTR_R,0).DATES)&lt;/Q&gt;&lt;R&gt;1&lt;/R&gt;&lt;C&gt;1&lt;/C&gt;&lt;D xsi:type="xsd:long"&gt;46022&lt;/D&gt;&lt;/FQL&gt;&lt;FQL&gt;&lt;Q&gt;BBY^FF_EPS(QTR_R,0)&lt;/Q&gt;&lt;R&gt;1&lt;/R&gt;&lt;C&gt;1&lt;/C&gt;&lt;D xsi:type="xsd:double"&gt;2.5616&lt;/D&gt;&lt;/FQL&gt;&lt;FQL&gt;&lt;Q&gt;AWK^FE_ESTIMATE(EPS,MEAN,QTR_ROLL,-0,0,,,'')&lt;/Q&gt;&lt;R&gt;1&lt;/R&gt;&lt;C&gt;1&lt;/C&gt;&lt;D xsi:type="xsd:double"&gt;1.22&lt;/D&gt;&lt;/FQL&gt;&lt;FQL&gt;&lt;Q&gt;ALLE^FE_ESTIMATE(EPS,MEAN,QTR_ROLL,-0,0,,,'')&lt;/Q&gt;&lt;R&gt;1&lt;/R&gt;&lt;C&gt;1&lt;/C&gt;&lt;D xsi:type="xsd:double"&gt;1.94&lt;/D&gt;&lt;/FQL&gt;&lt;FQL&gt;&lt;Q&gt;AIG^FE_ESTIMATE(EPS,MEAN,QTR_ROLL,-0,0,,,'')&lt;/Q&gt;&lt;R&gt;1&lt;/R&gt;&lt;C&gt;1&lt;/C&gt;&lt;D xsi:type="xsd:double"&gt;1.96&lt;/D&gt;&lt;/FQL&gt;&lt;FQL&gt;&lt;Q&gt;SNPS^FG_COMPANY_NAME&lt;/Q&gt;&lt;R&gt;1&lt;/R&gt;&lt;C&gt;1&lt;/C&gt;&lt;D xsi:type="xsd:string"&gt;Synopsys, Inc.&lt;/D&gt;&lt;/FQL&gt;&lt;FQL&gt;&lt;Q&gt;PLD^FG_COMPANY_NAME&lt;/Q&gt;&lt;R&gt;1&lt;/R&gt;&lt;C&gt;1&lt;/C&gt;&lt;D xsi:type="xsd:string"&gt;Prologis, Inc.&lt;/D&gt;&lt;/FQL&gt;&lt;FQL&gt;&lt;Q&gt;NKE^FG_COMPANY_NAME&lt;/Q&gt;&lt;R&gt;1&lt;/R&gt;&lt;C&gt;1&lt;/C&gt;&lt;D xsi:type="xsd:string"&gt;NIKE, Inc. Class B&lt;/D&gt;&lt;/FQL&gt;&lt;FQL&gt;&lt;Q&gt;LMT^FG_COMPANY_NAME&lt;/Q&gt;&lt;R&gt;1&lt;/R&gt;&lt;C&gt;1&lt;/C&gt;&lt;D xsi:type="xsd:string"&gt;Lockheed Martin Corporation&lt;/D&gt;&lt;/FQL&gt;&lt;FQL&gt;&lt;Q&gt;KEY^FG_COMPANY_NAME&lt;/Q&gt;&lt;R&gt;1&lt;/R&gt;&lt;C&gt;1&lt;/C&gt;&lt;D xsi:type="xsd:string"&gt;KeyCorp&lt;/D&gt;&lt;/FQL&gt;&lt;FQL&gt;&lt;Q&gt;IQV^FG_COMPANY_NAME&lt;/Q&gt;&lt;R&gt;1&lt;/R&gt;&lt;C&gt;1&lt;/C&gt;&lt;D xsi:type="xsd:string"&gt;IQVIA Holdings Inc&lt;/D&gt;&lt;/FQL&gt;&lt;FQL&gt;&lt;Q&gt;GNRC^FG_COMPANY_NAME&lt;/Q&gt;&lt;R&gt;1&lt;/R&gt;&lt;C&gt;1&lt;/C&gt;&lt;D xsi:type="xsd:string"&gt;Generac Holdings Inc.&lt;/D&gt;&lt;/FQL&gt;&lt;FQL&gt;&lt;Q&gt;ED^FG_COMPANY_NAME&lt;/Q&gt;&lt;R&gt;1&lt;/R&gt;&lt;C&gt;1&lt;/C&gt;&lt;D xsi:type="xsd:string"&gt;Consolidated Edison, Inc.&lt;/D&gt;&lt;/FQL&gt;&lt;FQL&gt;&lt;Q&gt;DHI^FG_COMPANY_NAME&lt;/Q&gt;&lt;R&gt;1&lt;/R&gt;&lt;C&gt;1&lt;/C&gt;&lt;D xsi:type="xsd:string"&gt;D.R. Horton, Inc.&lt;/D&gt;&lt;/FQL&gt;&lt;FQL&gt;&lt;Q&gt;CTLT^FG_COMPANY_NAME&lt;/Q&gt;&lt;R&gt;1&lt;/R&gt;&lt;C&gt;1&lt;/C&gt;&lt;D xsi:type="xsd:string"&gt;Catalent Inc&lt;/D&gt;&lt;/FQL&gt;&lt;FQL&gt;&lt;Q&gt;CMG^FG_COMPANY_NAME&lt;/Q&gt;&lt;R&gt;1&lt;/R&gt;&lt;C&gt;1&lt;/C&gt;&lt;D xsi:type="xsd:string"&gt;Chipotle Mexican Grill, Inc.&lt;/D&gt;&lt;/FQL&gt;&lt;FQL&gt;&lt;Q&gt;BAX^FG_COMPANY_NAME&lt;/Q&gt;&lt;R&gt;1&lt;/R&gt;&lt;C&gt;1&lt;/C&gt;&lt;D xsi:type="xsd:string"&gt;Baxter International Inc.&lt;/D&gt;&lt;/FQL&gt;&lt;FQL&gt;&lt;Q&gt;AOS^FG_COMPANY_NAME&lt;/Q&gt;&lt;R&gt;1&lt;/R&gt;&lt;C&gt;1&lt;/C&gt;&lt;D xsi:type="xsd:string"&gt;A. O. Smith Corporation&lt;/D&gt;&lt;/FQL&gt;&lt;FQL&gt;&lt;Q&gt;AKAM^FG_COMPANY_NAME&lt;/Q&gt;&lt;R&gt;1&lt;/R&gt;&lt;C&gt;1&lt;/C&gt;&lt;D xsi:type="xsd:string"&gt;Akamai Technologies, Inc.&lt;/D&gt;&lt;/FQL&gt;&lt;FQL&gt;&lt;Q&gt;WMT^FF_EPS(QTR_R,0)&lt;/Q&gt;&lt;R&gt;1&lt;/R&gt;&lt;C&gt;1&lt;/C&gt;&lt;D xsi:type="xsd:double"&gt;0.529&lt;/D&gt;&lt;/FQL&gt;&lt;FQL&gt;&lt;Q&gt;GOOGL^JULIAN(FF_EPS(QTR_R,0).DATES)&lt;/Q&gt;&lt;R&gt;1&lt;/R&gt;&lt;C&gt;1&lt;/C&gt;&lt;D xsi:type="xsd:long"&gt;46022&lt;/D&gt;&lt;/FQL&gt;&lt;FQL&gt;&lt;Q&gt;DOV^FE_ESTIMATE(EPS,MEAN,QTR_ROLL,-0,0,,,'')&lt;/Q&gt;&lt;R&gt;1&lt;/R&gt;&lt;C&gt;1&lt;/C&gt;&lt;D xsi:type="xsd:double"&gt;2.51&lt;/D&gt;&lt;/FQL&gt;&lt;FQL&gt;&lt;Q&gt;COF^FE_ESTIMATE(EPS,MEAN,QTR_ROLL,-0,0,,,'')&lt;/Q&gt;&lt;R&gt;1&lt;/R&gt;&lt;C&gt;1&lt;/C&gt;&lt;D xsi:type="xsd:double"&gt;3.86&lt;/D&gt;&lt;/FQL&gt;&lt;FQL&gt;&lt;Q&gt;CHRW^FF_EPS(QTR_R,0)&lt;/Q&gt;&lt;R&gt;1&lt;/R&gt;&lt;C&gt;1&lt;/C&gt;&lt;D xsi:type="xsd:double"&gt;1.1205&lt;/D&gt;&lt;/FQL&gt;&lt;FQL&gt;&lt;Q&gt;BRO^FE_ESTIMATE(EPS,MEAN,QTR_ROLL,-0,0,,,'')&lt;/Q&gt;&lt;R&gt;1&lt;/R&gt;&lt;C&gt;1&lt;/C&gt;&lt;D xsi:type="xsd:double"&gt;0.93&lt;/D&gt;&lt;/FQL&gt;&lt;FQL&gt;&lt;Q&gt;BBY^JULIAN(FF_EPS(QTR_R,0).DATES)&lt;/Q&gt;&lt;R&gt;1&lt;/R&gt;&lt;C&gt;1&lt;/C&gt;&lt;D xsi:type="xsd:long"&gt;46052&lt;/D&gt;&lt;/FQL&gt;&lt;FQL&gt;&lt;Q&gt;APH^JULIAN(FF_EPS(QTR_R,0).DATES)&lt;/Q&gt;&lt;R&gt;1&lt;/R&gt;&lt;C&gt;1&lt;/C&gt;&lt;D xsi:type="xsd:long"&gt;46022&lt;/D&gt;&lt;/FQL&gt;&lt;FQL&gt;&lt;Q&gt;REG^FG_COMPANY_NAME&lt;/Q&gt;&lt;R&gt;1&lt;/R&gt;&lt;C&gt;1&lt;/C&gt;&lt;D xsi:type="xsd:string"&gt;Regency Centers Corporation&lt;/D&gt;&lt;/FQL&gt;&lt;FQL&gt;&lt;Q&gt;MCO^FG_COMPANY_NAME&lt;/Q&gt;&lt;R&gt;1&lt;/R&gt;&lt;C&gt;1&lt;/C&gt;&lt;D xsi:type="xsd:string"&gt;Moody's Corporation&lt;/D&gt;&lt;/FQL&gt;&lt;FQL&gt;&lt;Q&gt;EXC^FG_COMPANY_NAME&lt;/Q&gt;&lt;R&gt;1&lt;/R&gt;&lt;C&gt;1&lt;/C&gt;&lt;D xsi:type="xsd:string"&gt;Exelon Corporation&lt;/D&gt;&lt;/FQL&gt;&lt;FQL&gt;&lt;Q&gt;ROP^JULIAN(FF_EPS(QTR_R,0).DATES)&lt;/Q&gt;&lt;R&gt;1&lt;/R&gt;&lt;C&gt;1&lt;/C&gt;&lt;D xsi:type="xsd:long"&gt;46022&lt;/D&gt;&lt;/FQL&gt;&lt;FQL&gt;&lt;Q&gt;AFL^FF_EPS(QTR_R,0)&lt;/Q&gt;&lt;R&gt;1&lt;/R&gt;&lt;C&gt;1&lt;/C&gt;&lt;D xsi:type="xsd:double"&gt;2.6393&lt;/D&gt;&lt;/FQL&gt;&lt;FQL&gt;&lt;Q&gt;MPC^FG_COMPANY_NAME&lt;/Q&gt;&lt;R&gt;1&lt;/R&gt;&lt;C&gt;1&lt;/C&gt;&lt;D xsi:type="xsd:string"&gt;Marathon Petroleum Corporation&lt;/D&gt;&lt;/FQL&gt;&lt;FQL&gt;&lt;Q&gt;BMY^FG_COMPANY_NAME&lt;/Q&gt;&lt;R&gt;1&lt;/R&gt;&lt;C&gt;1&lt;/C&gt;&lt;D xsi:type="xsd:string"&gt;Bristol-Myers Squibb Company&lt;/D&gt;&lt;/FQL&gt;&lt;FQL&gt;&lt;Q&gt;CBOE^FG_COMPANY_NAME&lt;/Q&gt;&lt;R&gt;1&lt;/R&gt;&lt;C&gt;1&lt;/C&gt;&lt;D xsi:type="xsd:string"&gt;Cboe Global Markets Inc&lt;/D&gt;&lt;/FQL&gt;&lt;FQL&gt;&lt;Q&gt;BIIB^FF_EPS(QTR_R,0)&lt;/Q&gt;&lt;R&gt;1&lt;/R&gt;&lt;C&gt;1&lt;/C&gt;&lt;D xsi:type="xsd:double"&gt;-0.3333&lt;/D&gt;&lt;/FQL&gt;&lt;FQL&gt;&lt;Q&gt;ADSK^FG_COMPANY_NAME&lt;/Q&gt;&lt;R&gt;1&lt;/R&gt;&lt;C&gt;1&lt;/C&gt;&lt;D xsi:type="xsd:string"&gt;Autodesk, Inc.&lt;/D&gt;&lt;/FQL&gt;&lt;FQL&gt;&lt;Q&gt;UAL^FF_EPS(QTR_R,0)&lt;/Q&gt;&lt;R&gt;1&lt;/R&gt;&lt;C&gt;1&lt;/C&gt;&lt;D xsi:type="xsd:double"&gt;3.1927&lt;/D&gt;&lt;/FQL&gt;&lt;FQL&gt;&lt;Q&gt;ROP^FF_EPS(QTR_R,0)&lt;/Q&gt;&lt;R&gt;1&lt;/R&gt;&lt;C&gt;1&lt;/C&gt;&lt;D xsi:type="xsd:double"&gt;3.974&lt;/D&gt;&lt;/FQL&gt;&lt;FQL&gt;&lt;Q&gt;NEM^FE_ESTIMATE(EPS,MEAN,QTR_ROLL,-0,0,,,'')&lt;/Q&gt;&lt;R&gt;1&lt;/R&gt;&lt;C&gt;1&lt;/C&gt;&lt;D xsi:type="xsd:double"&gt;2.52&lt;/D&gt;&lt;/FQL&gt;&lt;FQL&gt;&lt;Q&gt;MCHP^JULIAN(FF_EPS(QTR_R,0).DATES)&lt;/Q&gt;&lt;R&gt;1&lt;/R&gt;&lt;C&gt;1&lt;/C&gt;&lt;D xsi:type="xsd:long"&gt;46022&lt;/D&gt;&lt;/FQL&gt;&lt;FQL&gt;&lt;Q&gt;JNJ^FE_ESTIMATE(EPS,MEAN,QTR_ROLL,-0,0,,,'')&lt;/Q&gt;&lt;R&gt;1&lt;/R&gt;&lt;C&gt;1&lt;/C&gt;&lt;D xsi:type="xsd:double"&gt;2.46&lt;/D&gt;&lt;/FQL&gt;&lt;FQL&gt;&lt;Q&gt;INCY^JULIAN(FF_EPS(QTR_R,0).DATES)&lt;/Q&gt;&lt;R&gt;1&lt;/R&gt;&lt;C&gt;1&lt;/C&gt;&lt;D xsi:type="xsd:long"&gt;46022&lt;/D&gt;&lt;/FQL&gt;&lt;FQL&gt;&lt;Q&gt;HPE^FE_ESTIMATE(EPS,MEAN,QTR_ROLL,-0,0,,,'')&lt;/Q&gt;&lt;R&gt;1&lt;/R&gt;&lt;C&gt;1&lt;/C&gt;&lt;D xsi:type="xsd:double"&gt;0.65&lt;/D&gt;&lt;/FQL&gt;&lt;FQL&gt;&lt;Q&gt;FTV^JULIAN(FF_EPS(QTR_R,0).DATES)&lt;/Q&gt;&lt;R&gt;1&lt;/R&gt;&lt;C&gt;1&lt;/C&gt;&lt;D xsi:type="xsd:long"&gt;46022&lt;/D&gt;&lt;/FQL&gt;&lt;FQL&gt;&lt;Q&gt;EXC^JULIAN(FF_EPS(QTR_R,0).DATES)&lt;/Q&gt;&lt;R&gt;1&lt;/R&gt;&lt;C&gt;1&lt;/C&gt;&lt;D xsi:type="xsd:long"&gt;46022&lt;/D&gt;&lt;/FQL&gt;&lt;FQL&gt;&lt;Q&gt;EA^FE_ESTIMATE(EPS,MEAN,QTR_ROLL,-0,0,,,'')&lt;/Q&gt;&lt;R&gt;1&lt;/R&gt;&lt;C&gt;1&lt;/C&gt;&lt;D xsi:type="xsd:double"&gt;4.875692&lt;/D&gt;&lt;/FQL&gt;&lt;FQL&gt;&lt;Q&gt;DECK^JULIAN(FF_EPS(QTR_R,0).DATES)&lt;/Q&gt;&lt;R&gt;1&lt;/R&gt;&lt;C&gt;1&lt;/C&gt;&lt;D xsi:type="xsd:long"&gt;46022&lt;/D&gt;&lt;/FQL&gt;&lt;FQL&gt;&lt;Q&gt;CTSH^JULIAN(FF_EPS(QTR_R,0).DATES)&lt;/Q&gt;&lt;R&gt;1&lt;/R&gt;&lt;C&gt;1&lt;/C&gt;&lt;D xsi:type="xsd:long"&gt;46022&lt;/D&gt;&lt;/FQL&gt;&lt;FQL&gt;&lt;Q&gt;CMCSA^FE_ESTIMATE(EPS,MEAN,QTR_ROLL,-0,0,,,'')&lt;/Q&gt;&lt;R&gt;1&lt;/R&gt;&lt;C&gt;1&lt;/C&gt;&lt;D xsi:type="xsd:double"&gt;0.84&lt;/D&gt;&lt;/FQL&gt;&lt;FQL&gt;&lt;Q&gt;CAH^FE_ESTIMATE(EPS,MEAN,QTR_ROLL,-0,0,,,'')&lt;/Q&gt;&lt;R&gt;1&lt;/R&gt;&lt;C&gt;1&lt;/C&gt;&lt;D xsi:type="xsd:double"&gt;2.63&lt;/D&gt;&lt;/FQL&gt;&lt;FQL&gt;&lt;Q&gt;BK^FE_ESTIMATE(EPS,MEAN,QTR_ROLL,-0,0,,,'')&lt;/Q&gt;&lt;R&gt;1&lt;/R&gt;&lt;C&gt;1&lt;/C&gt;&lt;D xsi:type="xsd:double"&gt;2.02&lt;/D&gt;&lt;/FQL&gt;&lt;FQL&gt;&lt;Q&gt;AIG^FF_EPS(QTR_R,0)&lt;/Q&gt;&lt;R&gt;1&lt;/R&gt;&lt;C&gt;1&lt;/C&gt;&lt;D xsi:type="xsd:double"&gt;1.3452&lt;/D&gt;&lt;/FQL&gt;&lt;FQL&gt;&lt;Q&gt;NI^FG_COMPANY_NAME&lt;/Q&gt;&lt;R&gt;1&lt;/R&gt;&lt;C&gt;1&lt;/C&gt;&lt;D xsi:type="xsd:string"&gt;NiSource Inc&lt;/D&gt;&lt;/FQL&gt;&lt;FQL&gt;&lt;Q&gt;CDNS^FG_COMPANY_NAME&lt;/Q&gt;&lt;R&gt;1&lt;/R&gt;&lt;C&gt;1&lt;/C&gt;&lt;D xsi:type="xsd:string"&gt;Cadence Design Systems, Inc.&lt;/D&gt;&lt;/FQL&gt;&lt;FQL&gt;&lt;Q&gt;BAC^FG_COMPANY_NAME&lt;/Q&gt;&lt;R&gt;1&lt;/R&gt;&lt;C&gt;1&lt;/C&gt;&lt;D xsi:type="xsd:string"&gt;Bank of America Corp&lt;/D&gt;&lt;/FQL&gt;&lt;FQL&gt;&lt;Q&gt;PNW^JULIAN(FF_EPS(QTR_R,0).DATES)&lt;/Q&gt;&lt;R&gt;1&lt;/R&gt;&lt;C&gt;1&lt;/C&gt;&lt;D xsi:type="xsd:long"&gt;46022&lt;/D&gt;&lt;/FQL&gt;&lt;FQL&gt;&lt;Q&gt;MMM^JULIAN(FF_EPS(QTR_R,0).DATES)&lt;/Q&gt;&lt;R&gt;1&lt;/R&gt;&lt;C&gt;1&lt;/C&gt;&lt;D xsi:type="xsd:long"&gt;46022&lt;/D&gt;&lt;/FQL&gt;&lt;FQL&gt;&lt;Q&gt;LH^FF_EPS(QTR_R,0)&lt;/Q&gt;&lt;R&gt;1&lt;/R&gt;&lt;C&gt;1&lt;/C&gt;&lt;D xsi:type="xsd:double"&gt;1.9796&lt;/D&gt;&lt;/FQL&gt;&lt;FQL&gt;&lt;Q&gt;GOOG^FF_EPS(QTR_R,0)&lt;/Q&gt;&lt;R&gt;1&lt;/R&gt;&lt;C&gt;1&lt;/C&gt;&lt;D xsi:type="xsd:double"&gt;2.8177&lt;/D&gt;&lt;/FQL&gt;&lt;FQL&gt;&lt;Q&gt;DOV^FF_EPS(QTR_R,0)&lt;/Q&gt;&lt;R&gt;1&lt;/R&gt;&lt;C&gt;1&lt;/C&gt;&lt;D xsi:type="xsd:double"&gt;2.0616&lt;/D&gt;&lt;/FQL&gt;&lt;FQL&gt;&lt;Q&gt;DAY^FF_EPS(QTR_R,0)&lt;/Q&gt;&lt;R&gt;1&lt;/R&gt;&lt;C&gt;1&lt;/C&gt;&lt;D xsi:type="xsd:double"&gt;-1.2315&lt;/D&gt;&lt;/FQL&gt;&lt;FQL&gt;&lt;Q&gt;ADBE^FF_EPS(QTR_R,0)&lt;/Q&gt;&lt;R&gt;1&lt;/R&gt;&lt;C&gt;1&lt;/C&gt;&lt;D xsi:type="xsd:double"&gt;4.5961&lt;/D&gt;&lt;/FQL&gt;&lt;FQL&gt;&lt;Q&gt;QRVO^FG_COMPANY_NAME&lt;/Q&gt;&lt;R&gt;1&lt;/R&gt;&lt;C&gt;1&lt;/C&gt;&lt;D xsi:type="xsd:string"&gt;Qorvo, Inc.&lt;/D&gt;&lt;/FQL&gt;&lt;FQL&gt;&lt;Q&gt;OMC^FG_COMPANY_NAME&lt;/Q&gt;&lt;R&gt;1&lt;/R&gt;&lt;C&gt;1&lt;/C&gt;&lt;D xsi:type="xsd:string"&gt;Omnicom Group Inc&lt;/D&gt;&lt;/FQL&gt;&lt;FQL&gt;&lt;Q&gt;NFLX^FG_COMPANY_NAME&lt;/Q&gt;&lt;R&gt;1&lt;/R&gt;&lt;C&gt;1&lt;/C&gt;&lt;D xsi:type="xsd:string"&gt;Netflix, Inc.&lt;/D&gt;&lt;/FQL&gt;&lt;FQL&gt;&lt;Q&gt;KDP^FG_COMPANY_NAME&lt;/Q&gt;&lt;R&gt;1&lt;/R&gt;&lt;C&gt;1&lt;/C&gt;&lt;D xsi:type="xsd:string"&gt;Keurig Dr Pepper Inc.&lt;/D&gt;&lt;/FQL&gt;&lt;FQL&gt;&lt;Q&gt;IPG^FG_COMPANY_NAME&lt;/Q&gt;&lt;R&gt;1&lt;/R&gt;&lt;C&gt;1&lt;/C&gt;&lt;D xsi:type="xsd:string"&gt;Interpublic Group of Companies, Inc.&lt;/D&gt;&lt;/FQL&gt;&lt;FQL&gt;&lt;Q&gt;HRL^FG_COMPANY_NAME&lt;/Q&gt;&lt;R&gt;1&lt;/R&gt;&lt;C&gt;1&lt;/C&gt;&lt;D xsi:type="xsd:string"&gt;Hormel Foods Corporation&lt;/D&gt;&lt;/FQL&gt;&lt;FQL&gt;&lt;Q&gt;EW^FG_COMPANY_NAME&lt;/Q&gt;&lt;R&gt;1&lt;/R&gt;&lt;C&gt;1&lt;/C&gt;&lt;D xsi:type="xsd:string"&gt;Edwards Lifesciences Corporation&lt;/D&gt;&lt;/FQL&gt;&lt;FQL&gt;&lt;Q&gt;DG^FG_COMPANY_NAME&lt;/Q&gt;&lt;R&gt;1&lt;/R&gt;&lt;C&gt;1&lt;/C&gt;&lt;D xsi:type="xsd:string"&gt;Dollar General Corporation&lt;/D&gt;&lt;/FQL&gt;&lt;FQL&gt;&lt;Q&gt;AZO^FG_COMPANY_NAME&lt;/Q&gt;&lt;R&gt;1&lt;/R&gt;&lt;C&gt;1&lt;/C&gt;&lt;D xsi:type="xsd:string"&gt;AutoZone, Inc.&lt;/D&gt;&lt;/FQL&gt;&lt;FQL&gt;&lt;Q&gt;AON^FG_COMPANY_NAME&lt;/Q&gt;&lt;R&gt;1&lt;/R&gt;&lt;C&gt;1&lt;/C&gt;&lt;D xsi:type="xsd:string"&gt;Aon Plc Class A&lt;/D&gt;&lt;/FQL&gt;&lt;FQL&gt;&lt;Q&gt;DE^FG_COMPANY_NAME&lt;/Q&gt;&lt;R&gt;1&lt;/R&gt;&lt;C&gt;1&lt;/C&gt;&lt;D xsi:type="xsd:string"&gt;Deere &amp;amp; Company&lt;/D&gt;&lt;/FQL&gt;&lt;FQL&gt;&lt;Q&gt;CMA^FG_COMPANY_NAME&lt;/Q&gt;&lt;R&gt;1&lt;/R&gt;&lt;C&gt;1&lt;/C&gt;&lt;D xsi:type="xsd:string"&gt;Comerica Incorporated&lt;/D&gt;&lt;/FQL&gt;&lt;FQL&gt;&lt;Q&gt;BKR^FG_COMPANY_NAME&lt;/Q&gt;&lt;R&gt;1&lt;/R&gt;&lt;C&gt;1&lt;/C&gt;&lt;D xsi:type="xsd:string"&gt;Baker Hughes Company Class A&lt;/D&gt;&lt;/FQL&gt;&lt;FQL&gt;&lt;Q&gt;VST^FG_COMPANY_NAME&lt;/Q&gt;&lt;R&gt;1&lt;/R&gt;&lt;C&gt;1&lt;/C&gt;&lt;D xsi:type="xsd:string"&gt;Vistra Corp.&lt;/D&gt;&lt;/FQL&gt;&lt;FQL&gt;&lt;Q&gt;PSA^FG_COMPANY_NAME&lt;/Q&gt;&lt;R&gt;1&lt;/R&gt;&lt;C&gt;1&lt;/C&gt;&lt;D xsi:type="xsd:string"&gt;Public Storage&lt;/D&gt;&lt;/FQL&gt;&lt;FQL&gt;&lt;Q&gt;JCI^FG_COMPANY_NAME&lt;/Q&gt;&lt;R&gt;1&lt;/R&gt;&lt;C&gt;1&lt;/C&gt;&lt;D xsi:type="xsd:string"&gt;Johnson Controls International plc&lt;/D&gt;&lt;/FQL&gt;&lt;FQL&gt;&lt;Q&gt;TMO^JULIAN(FF_EPS(QTR_R,0).DATES)&lt;/Q&gt;&lt;R&gt;1&lt;/R&gt;&lt;C&gt;1&lt;/C&gt;&lt;D xsi:type="xsd:long"&gt;46022&lt;/D&gt;&lt;/FQL&gt;&lt;FQL&gt;&lt;Q&gt;CSX^FF_EPS(QTR_R,0)&lt;/Q&gt;&lt;R&gt;1&lt;/R&gt;&lt;C&gt;1&lt;/C&gt;&lt;D xsi:type="xsd:double"&gt;0.3863&lt;/D&gt;&lt;/FQL&gt;&lt;FQL&gt;&lt;Q&gt;BMY^FF_EPS(QTR_R,0)&lt;/Q&gt;&lt;R&gt;1&lt;/R&gt;&lt;C&gt;1&lt;/C&gt;&lt;D xsi:type="xsd:double"&gt;0.5326&lt;/D&gt;&lt;/FQL&gt;&lt;FQL&gt;&lt;Q&gt;AOS^JULIAN(FF_EPS(QTR_R,0).DATES)&lt;/Q&gt;&lt;R&gt;1&lt;/R&gt;&lt;C&gt;1&lt;/C&gt;&lt;D xsi:type="xsd:long"&gt;46022&lt;/D&gt;&lt;/FQL&gt;&lt;FQL&gt;&lt;Q&gt;WYNN^FG_COMPANY_NAME&lt;/Q&gt;&lt;R&gt;1&lt;/R&gt;&lt;C&gt;1&lt;/C&gt;&lt;D xsi:type="xsd:string"&gt;Wynn Resorts, Limited&lt;/D&gt;&lt;/FQL&gt;&lt;FQL&gt;&lt;Q&gt;PEG^FG_COMPANY_NAME&lt;/Q&gt;&lt;R&gt;1&lt;/R&gt;&lt;C&gt;1&lt;/C&gt;&lt;D xsi:type="xsd:string"&gt;Public Service Enterprise Group Inc&lt;/D&gt;&lt;/FQL&gt;&lt;FQL&gt;&lt;Q&gt;MTD^FG_COMPANY_NAME&lt;/Q&gt;&lt;R&gt;1&lt;/R&gt;&lt;C&gt;1&lt;/C&gt;&lt;D xsi:type="xsd:string"&gt;Mettler-Toledo International Inc.&lt;/D&gt;&lt;/FQL&gt;&lt;FQL&gt;&lt;Q&gt;FDS^FG_COMPANY_NAME&lt;/Q&gt;&lt;R&gt;1&lt;/R&gt;&lt;C&gt;1&lt;/C&gt;&lt;D xsi:type="xsd:string"&gt;FactSet Research Systems Inc.&lt;/D&gt;&lt;/FQL&gt;&lt;FQL&gt;&lt;Q&gt;BK^FG_COMPANY_NAME&lt;/Q&gt;&lt;R&gt;1&lt;/R&gt;&lt;C&gt;1&lt;/C&gt;&lt;D xsi:type="xsd:string"&gt;Bank of New York Mellon Corp&lt;/D&gt;&lt;/FQL&gt;&lt;FQL&gt;&lt;Q&gt;ISRG^FF_EPS(QTR_R,0)&lt;/Q&gt;&lt;R&gt;1&lt;/R&gt;&lt;C&gt;1&lt;/C&gt;&lt;D xsi:type="xsd:double"&gt;2.2053&lt;/D&gt;&lt;/FQL&gt;&lt;FQL&gt;&lt;Q&gt;ESS^FF_EPS(QTR_R,0)&lt;/Q&gt;&lt;R&gt;1&lt;/R&gt;&lt;C&gt;1&lt;/C&gt;&lt;D xsi:type="xsd:double"&gt;1.2507&lt;/D&gt;&lt;/FQL&gt;&lt;FQL&gt;&lt;Q&gt;CSX^JULIAN(FF_EPS(QTR_R,0).DATES)&lt;/Q&gt;&lt;R&gt;1&lt;/R&gt;&lt;C&gt;1&lt;/C&gt;&lt;D xsi:type="xsd:long"&gt;46022&lt;/D&gt;&lt;/FQL&gt;&lt;FQL&gt;&lt;Q&gt;CF^JULIAN(FF_EPS(QTR_R,0).DATES)&lt;/Q&gt;&lt;R&gt;1&lt;/R&gt;&lt;C&gt;1&lt;/C&gt;&lt;D xsi:type="xsd:long"&gt;46022&lt;/D&gt;&lt;/FQL&gt;&lt;FQL&gt;&lt;Q&gt;AON^JULIAN(FF_EPS(QTR_R,0).DATES)&lt;/Q&gt;&lt;R&gt;1&lt;/R&gt;&lt;C&gt;1&lt;/C&gt;&lt;D xsi:type="xsd:long"&gt;46022&lt;/D&gt;&lt;/FQL&gt;&lt;FQL&gt;&lt;Q&gt;VRSK^FG_COMPANY_NAME&lt;/Q&gt;&lt;R&gt;1&lt;/R&gt;&lt;C&gt;1&lt;/C&gt;&lt;D xsi:type="xsd:string"&gt;Verisk Analytics, Inc.&lt;/D&gt;&lt;/FQL&gt;&lt;FQL&gt;&lt;Q&gt;WMT^JULIAN(FF_EPS(QTR_R,0).DATES)&lt;/Q&gt;&lt;R&gt;1&lt;/R&gt;&lt;C&gt;1&lt;/C&gt;&lt;D xsi:type="xsd:long"&gt;46052&lt;/D&gt;&lt;/FQL&gt;&lt;FQL&gt;&lt;Q&gt;CPRT^FG_COMPANY_NAME&lt;/Q&gt;&lt;R&gt;1&lt;/R&gt;&lt;C&gt;1&lt;/C&gt;&lt;D xsi:type="xsd:string"&gt;Copart, Inc.&lt;/D&gt;&lt;/FQL&gt;&lt;FQL&gt;&lt;Q&gt;UAL^JULIAN(FF_EPS(QTR_R,0).DATES)&lt;/Q&gt;&lt;R&gt;1&lt;/R&gt;&lt;C&gt;1&lt;/C&gt;&lt;D xsi:type="xsd:long"&gt;46022&lt;/D&gt;&lt;/FQL&gt;&lt;FQL&gt;&lt;Q&gt;SYF^JULIAN(FF_EPS(QTR_R,0).DATES)&lt;/Q&gt;&lt;R&gt;1&lt;/R&gt;&lt;C&gt;1&lt;/C&gt;&lt;D xsi:type="xsd:long"&gt;46022&lt;/D&gt;&lt;/FQL&gt;&lt;FQL&gt;&lt;Q&gt;ORCL^FE_ESTIMATE(EPS,MEAN,QTR_ROLL,-0,0,,,'')&lt;/Q&gt;&lt;R&gt;1&lt;/R&gt;&lt;C&gt;1&lt;/C&gt;&lt;D xsi:type="xsd:double"&gt;1.79&lt;/D&gt;&lt;/FQL&gt;&lt;FQL&gt;&lt;Q&gt;LW^JULIAN(FF_EPS(QTR_R,0).DATES)&lt;/Q&gt;&lt;R&gt;1&lt;/R&gt;&lt;C&gt;1&lt;/C&gt;&lt;D xsi:type="xsd:long"&gt;45989&lt;/D&gt;&lt;/FQL&gt;&lt;FQL&gt;&lt;Q&gt;LEN^FE_ESTIMATE(EPS,MEAN,QTR_ROLL,-0,0,,,'')&lt;/Q&gt;&lt;R&gt;1&lt;/R&gt;&lt;C&gt;1&lt;/C&gt;&lt;D xsi:type="xsd:double"&gt;0.93&lt;/D&gt;&lt;/FQL&gt;&lt;FQL&gt;&lt;Q&gt;ILMN^FE_ESTIMATE(EPS,MEAN,QTR_ROLL,-0,0,,,'')&lt;/Q&gt;&lt;R&gt;1&lt;/R&gt;&lt;C&gt;1&lt;/C&gt;&lt;D xsi:type="xsd:double"&gt;1.35&lt;/D&gt;&lt;/FQL&gt;&lt;FQL&gt;&lt;Q&gt;HD^JULIAN(FF_EPS(QTR_R,0).DATES)&lt;/Q&gt;&lt;R&gt;1&lt;/R&gt;&lt;C&gt;1&lt;/C&gt;&lt;D xsi:type="xsd:long"&gt;46052&lt;/D&gt;&lt;/FQL&gt;&lt;FQL&gt;&lt;Q&gt;GOOG^JULIAN(FF_EPS(QTR_R,0).DATES)&lt;/Q&gt;&lt;R&gt;1&lt;/R&gt;&lt;C&gt;1&lt;/C&gt;&lt;D xsi:type="xsd:long"&gt;46022&lt;/D&gt;&lt;/FQL&gt;&lt;FQL&gt;&lt;Q&gt;FOXA^FE_ESTIMATE(EPS,MEAN,QTR_ROLL,-0,0,,,'')&lt;/Q&gt;&lt;R&gt;1&lt;/R&gt;&lt;C&gt;1&lt;/C&gt;&lt;D xsi:type="xsd:double"&gt;0.82&lt;/D&gt;&lt;/FQL&gt;&lt;FQL&gt;&lt;Q&gt;FE^JULIAN(FF_EPS(QTR_R,0).DATES)&lt;/Q&gt;&lt;R&gt;1&lt;/R&gt;&lt;C&gt;1&lt;/C&gt;&lt;D xsi:type="xsd:long"&gt;46022&lt;/D&gt;&lt;/FQL&gt;&lt;FQL&gt;&lt;Q&gt;CTRA^FE_ESTIMATE(EPS,MEAN,QTR_ROLL,-0,0,,,'')&lt;/Q&gt;&lt;R&gt;1&lt;/R&gt;&lt;C&gt;1&lt;/C&gt;&lt;D xsi:type="xsd:double"&gt;0.39&lt;/D&gt;&lt;/FQL&gt;&lt;FQL&gt;&lt;Q&gt;CPT^FF_EPS(QTR_R,0)&lt;/Q&gt;&lt;R&gt;1&lt;/R&gt;&lt;C&gt;1&lt;/C&gt;&lt;D xsi:type="xsd:double"&gt;1.4335&lt;/D&gt;&lt;/FQL&gt;&lt;FQL&gt;&lt;Q&gt;CFG^FE_ESTIMATE(EPS,MEAN,QTR_ROLL,-0,0,,,'')&lt;/Q&gt;&lt;R&gt;1&lt;/R&gt;&lt;C&gt;1&lt;/C&gt;&lt;D xsi:type="xsd:double"&gt;1.13&lt;/D&gt;&lt;/FQL&gt;&lt;FQL&gt;&lt;Q&gt;CAH^JULIAN(FF_EPS(QTR_R,0).DATES)&lt;/Q&gt;&lt;R&gt;1&lt;/R&gt;&lt;C&gt;1&lt;/C&gt;&lt;D xsi:type="xsd:long"&gt;46022&lt;/D&gt;&lt;/FQL&gt;&lt;FQL&gt;&lt;Q&gt;BRO^JULIAN(FF_EPS(QTR_R,0).DATES)&lt;/Q&gt;&lt;R&gt;1&lt;/R&gt;&lt;C&gt;1&lt;/C&gt;&lt;D xsi:type="xsd:long"&gt;46022&lt;/D&gt;&lt;/FQL&gt;&lt;FQL&gt;&lt;Q&gt;BIO^FE_ESTIMATE(EPS,MEAN,QTR_ROLL,-0,0,,,'')&lt;/Q&gt;&lt;R&gt;1&lt;/R&gt;&lt;C&gt;1&lt;/C&gt;&lt;D xsi:type="xsd:double"&gt;2.51&lt;/D&gt;&lt;/FQL&gt;&lt;FQL&gt;&lt;Q&gt;BBWI^FE_ESTIMATE(EPS,MEAN,QTR_ROLL,-0,0,,,'')&lt;/Q&gt;&lt;R&gt;1&lt;/R&gt;&lt;C&gt;1&lt;/C&gt;&lt;D xsi:type="xsd:double"&gt;2.05&lt;/D&gt;&lt;/FQL&gt;&lt;FQL&gt;&lt;Q&gt;APD^FF_EPS(QTR_R,0)&lt;/Q&gt;&lt;R&gt;1&lt;/R&gt;&lt;C&gt;1&lt;/C&gt;&lt;D xsi:type="xsd:double"&gt;3.0426&lt;/D&gt;&lt;/FQL&gt;&lt;FQL&gt;&lt;Q&gt;AMT^JULIAN(FF_EPS(QTR_R,0).DATES)&lt;/Q&gt;&lt;R&gt;1&lt;/R&gt;&lt;C&gt;1&lt;/C&gt;&lt;D xsi:type="xsd:long"&gt;46022&lt;/D&gt;&lt;/FQL&gt;&lt;FQL&gt;&lt;Q&gt;ALL^JULIAN(FF_EPS(QTR_R,0).DATES)&lt;/Q&gt;&lt;R&gt;1&lt;/R&gt;&lt;C&gt;1&lt;/C&gt;&lt;D xsi:type="xsd:long"&gt;46022&lt;/D&gt;&lt;/FQL&gt;&lt;FQL&gt;&lt;Q&gt;A^FE_ESTIMATE(EPS,MEAN,QTR_ROLL,-0,0,,,'')&lt;/Q&gt;&lt;R&gt;1&lt;/R&gt;&lt;C&gt;1&lt;/C&gt;&lt;D xsi:type="xsd:double"&gt;1.36&lt;/D&gt;&lt;/FQL&gt;&lt;FQL&gt;&lt;Q&gt;VZ^FG_COMPANY_NAME&lt;/Q&gt;&lt;R&gt;1&lt;/R&gt;&lt;C&gt;1&lt;/C&gt;&lt;D xsi:type="xsd:string"&gt;Verizon Communications Inc.&lt;/D&gt;&lt;/FQL&gt;&lt;FQL&gt;&lt;Q&gt;SHW^FG_COMPANY_NAME&lt;/Q&gt;&lt;R&gt;1&lt;/R&gt;&lt;C&gt;1&lt;/C&gt;&lt;D xsi:type="xsd:string"&gt;Sherwin-Williams Company&lt;/D&gt;&lt;/FQL&gt;&lt;FQL&gt;&lt;Q&gt;QCOM^FG_COMPANY_NAME&lt;/Q&gt;&lt;R&gt;1&lt;/R&gt;&lt;C&gt;1&lt;/C&gt;&lt;D xsi:type="xsd:string"&gt;QUALCOMM Incorporated&lt;/D&gt;&lt;/FQL&gt;&lt;FQL&gt;&lt;Q&gt;ODFL^FG_COMPANY_NAME&lt;/Q&gt;&lt;R&gt;1&lt;/R&gt;&lt;C&gt;1&lt;/C&gt;&lt;D xsi:type="xsd:string"&gt;Old Dominion Freight Line, Inc.&lt;/D&gt;&lt;/FQL&gt;&lt;FQL&gt;&lt;Q&gt;MCK^FG_COMPANY_NAME&lt;/Q&gt;&lt;R&gt;1&lt;/R&gt;&lt;C&gt;1&lt;/C&gt;&lt;D xsi:type="xsd:string"&gt;McKesson Corporation&lt;/D&gt;&lt;/FQL&gt;&lt;FQL&gt;&lt;Q&gt;GLW^FG_COMPANY_NAME&lt;/Q&gt;&lt;R&gt;1&lt;/R&gt;&lt;C&gt;1&lt;/C&gt;&lt;D xsi:type="xsd:string"&gt;Corning Inc&lt;/D&gt;&lt;/FQL&gt;&lt;FQL&gt;&lt;Q&gt;FLT^FG_COMPANY_NAME&lt;/Q&gt;&lt;R&gt;1&lt;/R&gt;&lt;C&gt;1&lt;/C&gt;&lt;D xsi:type="xsd:string"&gt;Corpay, Inc.&lt;/D&gt;&lt;/FQL&gt;&lt;FQL&gt;&lt;Q&gt;CRM^FG_COMPANY_NAME&lt;/Q&gt;&lt;R&gt;1&lt;/R&gt;&lt;C&gt;1&lt;/C&gt;&lt;D xsi:type="xsd:string"&gt;Salesforce, Inc.&lt;/D&gt;&lt;/FQL&gt;&lt;FQL&gt;&lt;Q&gt;CMCSA^FG_COMPANY_NAME&lt;/Q&gt;&lt;R&gt;1&lt;/R&gt;&lt;C&gt;1&lt;/C&gt;&lt;D xsi:type="xsd:string"&gt;Comcast Corporation Class A&lt;/D&gt;&lt;/FQL&gt;&lt;FQL&gt;&lt;Q&gt;BLDR^FG_COMPANY_NAME&lt;/Q&gt;&lt;R&gt;1&lt;/R&gt;&lt;C&gt;1&lt;/C&gt;&lt;D xsi:type="xsd:string"&gt;Builders FirstSource, Inc.&lt;/D&gt;&lt;/FQL&gt;&lt;FQL&gt;&lt;Q&gt;ANSS^FG_COMPANY_NAME&lt;/Q&gt;&lt;R&gt;1&lt;/R&gt;&lt;C&gt;1&lt;/C&gt;&lt;D xsi:type="xsd:string"&gt;ANSYS, Inc.&lt;/D&gt;&lt;/FQL&gt;&lt;FQL&gt;&lt;Q&gt;AIZ^FG_COMPANY_NAME&lt;/Q&gt;&lt;R&gt;1&lt;/R&gt;&lt;C&gt;1&lt;/C&gt;&lt;D xsi:type="xsd:string"&gt;Assurant, Inc.&lt;/D&gt;&lt;/FQL&gt;&lt;FQL&gt;&lt;Q&gt;CTLT^FE_ESTIMATE(EPS,MEAN,QTR_ROLL,-0,0,,,'')&lt;/Q&gt;&lt;R&gt;0&lt;/R&gt;&lt;C&gt;0&lt;/C&gt;&lt;/FQL&gt;&lt;FQL&gt;&lt;Q&gt;CPRT^FF_EPS(QTR_R,0)&lt;/Q&gt;&lt;R&gt;1&lt;/R&gt;&lt;C&gt;1&lt;/C&gt;&lt;D xsi:type="xsd:double"&gt;0.3597&lt;/D&gt;&lt;/FQL&gt;&lt;FQL&gt;&lt;Q&gt;CLX^FF_EPS(QTR_R,0)&lt;/Q&gt;&lt;R&gt;1&lt;/R&gt;&lt;C&gt;1&lt;/C&gt;&lt;D xsi:type="xsd:double"&gt;1.2878&lt;/D&gt;&lt;/FQL&gt;&lt;FQL&gt;&lt;Q&gt;CFG^JULIAN(FF_EPS(QTR_R,0).DATES)&lt;/Q&gt;&lt;R&gt;1&lt;/R&gt;&lt;C&gt;1&lt;/C&gt;&lt;D xsi:type="xsd:long"&gt;46022&lt;/D&gt;&lt;/FQL&gt;&lt;FQL&gt;&lt;Q&gt;C^FE_ESTIMATE(EPS,MEAN,QTR_ROLL,-0,0,,,'')&lt;/Q&gt;&lt;R&gt;1&lt;/R&gt;&lt;C&gt;1&lt;/C&gt;&lt;D xsi:type="xsd:double"&gt;1.19&lt;/D&gt;&lt;/FQL&gt;&lt;FQL&gt;&lt;Q&gt;BIO^JULIAN(FF_EPS(QTR_R,0).DATES)&lt;/Q&gt;&lt;R&gt;1&lt;/R&gt;&lt;C&gt;1&lt;/C&gt;&lt;D xsi:type="xsd:long"&gt;46022&lt;/D&gt;&lt;/FQL&gt;&lt;FQL&gt;&lt;Q&gt;BBWI^FF_EPS(QTR_R,0)&lt;/Q&gt;&lt;R&gt;1&lt;/R&gt;&lt;C&gt;1&lt;/C&gt;&lt;D xsi:type="xsd:double"&gt;1.9852&lt;/D&gt;&lt;/FQL&gt;&lt;FQL&gt;&lt;Q&gt;AMP^FF_EPS(QTR_R,0)&lt;/Q&gt;&lt;R&gt;1&lt;/R&gt;&lt;C&gt;1&lt;/C&gt;&lt;D xsi:type="xsd:double"&gt;10.4673&lt;/D&gt;&lt;/FQL&gt;&lt;FQL&gt;&lt;Q&gt;ACN^FE_ESTIMATE(EPS,MEAN,QTR_ROLL,-0,0,,,'')&lt;/Q&gt;&lt;R&gt;1&lt;/R&gt;&lt;C&gt;1&lt;/C&gt;&lt;D xsi:type="xsd:double"&gt;2.933491&lt;/D&gt;&lt;/FQL&gt;&lt;FQL&gt;&lt;Q&gt;SEE^FG_COMPANY_NAME&lt;/Q&gt;&lt;R&gt;1&lt;/R&gt;&lt;C&gt;1&lt;/C&gt;&lt;D xsi:type="xsd:string"&gt;Sealed Air Corporation&lt;/D&gt;&lt;/FQL&gt;&lt;FQL&gt;&lt;Q&gt;NCLH^FG_COMPANY_NAME&lt;/Q&gt;&lt;R&gt;1&lt;/R&gt;&lt;C&gt;1&lt;/C&gt;&lt;D xsi:type="xsd:string"&gt;Norwegian Cruise Line Holdings Ltd.&lt;/D&gt;&lt;/FQL&gt;&lt;FQL&gt;&lt;Q&gt;CRL^FG_COMPANY_NAME&lt;/Q&gt;&lt;R&gt;1&lt;/R&gt;&lt;C&gt;1&lt;/C&gt;&lt;D xsi:type="xsd:string"&gt;Charles River Laboratories International, Inc.&lt;/D&gt;&lt;/FQL&gt;&lt;FQL&gt;&lt;Q&gt;AWK^FG_COMPANY_NAME&lt;/Q&gt;&lt;R&gt;1&lt;/R&gt;&lt;C&gt;1&lt;/C&gt;&lt;D xsi:type="xsd:string"&gt;American Water Works Company, Inc.&lt;/D&gt;&lt;/FQL&gt;&lt;FQL&gt;&lt;Q&gt;HBAN^FG_COMPANY_NAME&lt;/Q&gt;&lt;R&gt;1&lt;/R&gt;&lt;C&gt;1&lt;/C&gt;&lt;D xsi:type="xsd:string"&gt;Huntington Bancshares Incorporated&lt;/D&gt;&lt;/FQL&gt;&lt;FQL&gt;&lt;Q&gt;DXCM^FG_COMPANY_NAME&lt;/Q&gt;&lt;R&gt;1&lt;/R&gt;&lt;C&gt;1&lt;/C&gt;&lt;D xsi:type="xsd:string"&gt;DexCom, Inc.&lt;/D&gt;&lt;/FQL&gt;&lt;FQL&gt;&lt;Q&gt;MKTX^FF_EPS(QTR_R,0)&lt;/Q&gt;&lt;R&gt;1&lt;/R&gt;&lt;C&gt;1&lt;/C&gt;&lt;D xsi:type="xsd:double"&gt;2.5144&lt;/D&gt;&lt;/FQL&gt;&lt;FQL&gt;&lt;Q&gt;CL^JULIAN(FF_EPS(QTR_R,0).DATES)&lt;/Q&gt;&lt;R&gt;1&lt;/R&gt;&lt;C&gt;1&lt;/C&gt;&lt;D xsi:type="xsd:long"&gt;46022&lt;/D&gt;&lt;/FQL&gt;&lt;FQL&gt;&lt;Q&gt;AEE^JULIAN(FF_EPS(QTR_R,0).DATES)&lt;/Q&gt;&lt;R&gt;1&lt;/R&gt;&lt;C&gt;1&lt;/C&gt;&lt;D xsi:type="xsd:long"&gt;46022&lt;/D&gt;&lt;/FQL&gt;&lt;FQL&gt;&lt;Q&gt;VRTX^FG_COMPANY_NAME&lt;/Q&gt;&lt;R&gt;1&lt;/R&gt;&lt;C&gt;1&lt;/C&gt;&lt;D xsi:type="xsd:string"&gt;Vertex Pharmaceuticals Incorporated&lt;/D&gt;&lt;/FQL&gt;&lt;FQL&gt;&lt;Q&gt;GEHC^FG_COMPANY_NAME&lt;/Q&gt;&lt;R&gt;1&lt;/R&gt;&lt;C&gt;1&lt;/C&gt;&lt;D xsi:type="xsd:string"&gt;GE Healthcare Technologies Inc.&lt;/D&gt;&lt;/FQL&gt;&lt;FQL&gt;&lt;Q&gt;AMD^FG_COMPANY_NAME&lt;/Q&gt;&lt;R&gt;1&lt;/R&gt;&lt;C&gt;1&lt;/C&gt;&lt;D xsi:type="xsd:string"&gt;Advanced Micro Devices, Inc.&lt;/D&gt;&lt;/FQL&gt;&lt;FQL&gt;&lt;Q&gt;PYPL^FE_ESTIMATE(EPS,MEAN,QTR_ROLL,-0,0,,,'')&lt;/Q&gt;&lt;R&gt;1&lt;/R&gt;&lt;C&gt;1&lt;/C&gt;&lt;D xsi:type="xsd:double"&gt;1.23&lt;/D&gt;&lt;/FQL&gt;&lt;FQL&gt;&lt;Q&gt;GEV^JULIAN(FF_EPS(QTR_R,0).DATES)&lt;/Q&gt;&lt;R&gt;1&lt;/R&gt;&lt;C&gt;1&lt;/C&gt;&lt;D xsi:type="xsd:long"&gt;46022&lt;/D&gt;&lt;/FQL&gt;&lt;FQL&gt;&lt;Q&gt;CZR^JULIAN(FF_EPS(QTR_R,0).DATES)&lt;/Q&gt;&lt;R&gt;1&lt;/</t>
        </r>
      </text>
    </comment>
    <comment ref="A6" authorId="0" shapeId="0" xr:uid="{063185FD-39E5-4B94-B96E-BFFF753CBC5E}">
      <text>
        <r>
          <rPr>
            <b/>
            <sz val="9"/>
            <color indexed="81"/>
            <rFont val="Tahoma"/>
            <charset val="1"/>
          </rPr>
          <t>R&gt;&lt;C&gt;1&lt;/C&gt;&lt;D xsi:type="xsd:long"&gt;46022&lt;/D&gt;&lt;/FQL&gt;&lt;FQL&gt;&lt;Q&gt;BLK^JULIAN(FF_EPS(QTR_R,0).DATES)&lt;/Q&gt;&lt;R&gt;1&lt;/R&gt;&lt;C&gt;1&lt;/C&gt;&lt;D xsi:type="xsd:long"&gt;46022&lt;/D&gt;&lt;/FQL&gt;&lt;FQL&gt;&lt;Q&gt;AME^JULIAN(FF_EPS(QTR_R,0).DATES)&lt;/Q&gt;&lt;R&gt;1&lt;/R&gt;&lt;C&gt;1&lt;/C&gt;&lt;D xsi:type="xsd:long"&gt;46022&lt;/D&gt;&lt;/FQL&gt;&lt;FQL&gt;&lt;Q&gt;ADSK^FF_EPS(QTR_R,0)&lt;/Q&gt;&lt;R&gt;1&lt;/R&gt;&lt;C&gt;1&lt;/C&gt;&lt;D xsi:type="xsd:double"&gt;1.4766&lt;/D&gt;&lt;/FQL&gt;&lt;FQL&gt;&lt;Q&gt;WY^FG_COMPANY_NAME&lt;/Q&gt;&lt;R&gt;1&lt;/R&gt;&lt;C&gt;1&lt;/C&gt;&lt;D xsi:type="xsd:string"&gt;Weyerhaeuser Company&lt;/D&gt;&lt;/FQL&gt;&lt;FQL&gt;&lt;Q&gt;PRU^FG_COMPANY_NAME&lt;/Q&gt;&lt;R&gt;1&lt;/R&gt;&lt;C&gt;1&lt;/C&gt;&lt;D xsi:type="xsd:string"&gt;Prudential Financial, Inc.&lt;/D&gt;&lt;/FQL&gt;&lt;FQL&gt;&lt;Q&gt;WM^FF_EPS(QTR_R,0)&lt;/Q&gt;&lt;R&gt;1&lt;/R&gt;&lt;C&gt;1&lt;/C&gt;&lt;D xsi:type="xsd:double"&gt;1.8344&lt;/D&gt;&lt;/FQL&gt;&lt;FQL&gt;&lt;Q&gt;TYL^JULIAN(FF_EPS(QTR_R,0).DATES)&lt;/Q&gt;&lt;R&gt;1&lt;/R&gt;&lt;C&gt;1&lt;/C&gt;&lt;D xsi:type="xsd:long"&gt;46022&lt;/D&gt;&lt;/FQL&gt;&lt;FQL&gt;&lt;Q&gt;PNR^FE_ESTIMATE(EPS,MEAN,QTR_ROLL,-0,0,,,'')&lt;/Q&gt;&lt;R&gt;1&lt;/R&gt;&lt;C&gt;1&lt;/C&gt;&lt;D xsi:type="xsd:double"&gt;1.18&lt;/D&gt;&lt;/FQL&gt;&lt;FQL&gt;&lt;Q&gt;ORCL^FF_EPS(QTR_R,0)&lt;/Q&gt;&lt;R&gt;1&lt;/R&gt;&lt;C&gt;1&lt;/C&gt;&lt;D xsi:type="xsd:double"&gt;1.2703&lt;/D&gt;&lt;/FQL&gt;&lt;FQL&gt;&lt;Q&gt;NDSN^FE_ESTIMATE(EPS,MEAN,QTR_ROLL,-0,0,,,'')&lt;/Q&gt;&lt;R&gt;1&lt;/R&gt;&lt;C&gt;1&lt;/C&gt;&lt;D xsi:type="xsd:double"&gt;2.37&lt;/D&gt;&lt;/FQL&gt;&lt;FQL&gt;&lt;Q&gt;JKHY^FE_ESTIMATE(EPS,MEAN,QTR_ROLL,-0,0,,,'')&lt;/Q&gt;&lt;R&gt;1&lt;/R&gt;&lt;C&gt;1&lt;/C&gt;&lt;D xsi:type="xsd:double"&gt;1.72&lt;/D&gt;&lt;/FQL&gt;&lt;FQL&gt;&lt;Q&gt;FDX^FE_ESTIMATE(EPS,MEAN,QTR_ROLL,-0,0,,,'')&lt;/Q&gt;&lt;R&gt;1&lt;/R&gt;&lt;C&gt;1&lt;/C&gt;&lt;D xsi:type="xsd:double"&gt;5.25&lt;/D&gt;&lt;/FQL&gt;&lt;FQL&gt;&lt;Q&gt;ENPH^JULIAN(FF_EPS(QTR_R,0).DATES)&lt;/Q&gt;&lt;R&gt;1&lt;/R&gt;&lt;C&gt;1&lt;/C&gt;&lt;D xsi:type="xsd:long"&gt;46022&lt;/D&gt;&lt;/FQL&gt;&lt;FQL&gt;&lt;Q&gt;DLTR^FF_EPS(QTR_R,0)&lt;/Q&gt;&lt;R&gt;1&lt;/R&gt;&lt;C&gt;1&lt;/C&gt;&lt;D xsi:type="xsd:double"&gt;2.533&lt;/D&gt;&lt;/FQL&gt;&lt;FQL&gt;&lt;Q&gt;COF^JULIAN(FF_EPS(QTR_R,0).DATES)&lt;/Q&gt;&lt;R&gt;1&lt;/R&gt;&lt;C&gt;1&lt;/C&gt;&lt;D xsi:type="xsd:long"&gt;46022&lt;/D&gt;&lt;/FQL&gt;&lt;FQL&gt;&lt;Q&gt;CMA^FE_ESTIMATE(EPS,MEAN,QTR_ROLL,-0,0,,,'')&lt;/Q&gt;&lt;R&gt;1&lt;/R&gt;&lt;C&gt;1&lt;/C&gt;&lt;D xsi:type="xsd:double"&gt;1.27&lt;/D&gt;&lt;/FQL&gt;&lt;FQL&gt;&lt;Q&gt;CCL^FF_EPS(QTR_R,0)&lt;/Q&gt;&lt;R&gt;1&lt;/R&gt;&lt;C&gt;1&lt;/C&gt;&lt;D xsi:type="xsd:double"&gt;0.3136&lt;/D&gt;&lt;/FQL&gt;&lt;FQL&gt;&lt;Q&gt;CAG^FE_ESTIMATE(EPS,MEAN,QTR_ROLL,-0,0,,,'')&lt;/Q&gt;&lt;R&gt;1&lt;/R&gt;&lt;C&gt;1&lt;/C&gt;&lt;D xsi:type="xsd:double"&gt;0.45&lt;/D&gt;&lt;/FQL&gt;&lt;FQL&gt;&lt;Q&gt;BRK.B^FF_EPS(QTR_R,0)&lt;/Q&gt;&lt;R&gt;1&lt;/R&gt;&lt;C&gt;1&lt;/C&gt;&lt;D xsi:type="xsd:double"&gt;8.8994&lt;/D&gt;&lt;/FQL&gt;&lt;FQL&gt;&lt;Q&gt;AVGO^FF_EPS(QTR_R,0)&lt;/Q&gt;&lt;R&gt;1&lt;/R&gt;&lt;C&gt;1&lt;/C&gt;&lt;D xsi:type="xsd:double"&gt;1.5035&lt;/D&gt;&lt;/FQL&gt;&lt;FQL&gt;&lt;Q&gt;AMP^FE_ESTIMATE(EPS,MEAN,QTR_ROLL,-0,0,,,'')&lt;/Q&gt;&lt;R&gt;1&lt;/R&gt;&lt;C&gt;1&lt;/C&gt;&lt;D xsi:type="xsd:double"&gt;10.83&lt;/D&gt;&lt;/FQL&gt;&lt;FQL&gt;&lt;Q&gt;ADBE^JULIAN(FF_EPS(QTR_R,0).DATES)&lt;/Q&gt;&lt;R&gt;1&lt;/R&gt;&lt;C&gt;1&lt;/C&gt;&lt;D xsi:type="xsd:long"&gt;46080&lt;/D&gt;&lt;/FQL&gt;&lt;FQL&gt;&lt;Q&gt;A^JULIAN(FF_EPS(QTR_R,0).DATES)&lt;/Q&gt;&lt;R&gt;1&lt;/R&gt;&lt;C&gt;1&lt;/C&gt;&lt;D xsi:type="xsd:long"&gt;46052&lt;/D&gt;&lt;/FQL&gt;&lt;FQL&gt;&lt;Q&gt;VTRS^FG_COMPANY_NAME&lt;/Q&gt;&lt;R&gt;1&lt;/R&gt;&lt;C&gt;1&lt;/C&gt;&lt;D xsi:type="xsd:string"&gt;Viatris, Inc.&lt;/D&gt;&lt;/FQL&gt;&lt;FQL&gt;&lt;Q&gt;UAL^FG_COMPANY_NAME&lt;/Q&gt;&lt;R&gt;1&lt;/R&gt;&lt;C&gt;1&lt;/C&gt;&lt;D xsi:type="xsd:string"&gt;United Airlines Holdings, Inc.&lt;/D&gt;&lt;/FQL&gt;&lt;FQL&gt;&lt;Q&gt;SYY^FG_COMPANY_NAME&lt;/Q&gt;&lt;R&gt;1&lt;/R&gt;&lt;C&gt;1&lt;/C&gt;&lt;D xsi:type="xsd:string"&gt;Sysco Corporation&lt;/D&gt;&lt;/FQL&gt;&lt;FQL&gt;&lt;Q&gt;PG^FG_COMPANY_NAME&lt;/Q&gt;&lt;R&gt;1&lt;/R&gt;&lt;C&gt;1&lt;/C&gt;&lt;D xsi:type="xsd:string"&gt;Procter &amp;amp; Gamble Company&lt;/D&gt;&lt;/FQL&gt;&lt;FQL&gt;&lt;Q&gt;MO^FG_COMPANY_NAME&lt;/Q&gt;&lt;R&gt;1&lt;/R&gt;&lt;C&gt;1&lt;/C&gt;&lt;D xsi:type="xsd:string"&gt;Altria Group, Inc.&lt;/D&gt;&lt;/FQL&gt;&lt;FQL&gt;&lt;Q&gt;GL^FG_COMPANY_NAME&lt;/Q&gt;&lt;R&gt;1&lt;/R&gt;&lt;C&gt;1&lt;/C&gt;&lt;D xsi:type="xsd:string"&gt;Globe Life Inc.&lt;/D&gt;&lt;/FQL&gt;&lt;FQL&gt;&lt;Q&gt;ETR^FG_COMPANY_NAME&lt;/Q&gt;&lt;R&gt;1&lt;/R&gt;&lt;C&gt;1&lt;/C&gt;&lt;D xsi:type="xsd:string"&gt;Entergy Corporation&lt;/D&gt;&lt;/FQL&gt;&lt;FQL&gt;&lt;Q&gt;EBAY^FG_COMPANY_NAME&lt;/Q&gt;&lt;R&gt;1&lt;/R&gt;&lt;C&gt;1&lt;/C&gt;&lt;D xsi:type="xsd:string"&gt;eBay Inc.&lt;/D&gt;&lt;/FQL&gt;&lt;FQL&gt;&lt;Q&gt;DECK^FG_COMPANY_NAME&lt;/Q&gt;&lt;R&gt;1&lt;/R&gt;&lt;C&gt;1&lt;/C&gt;&lt;D xsi:type="xsd:string"&gt;Deckers Outdoor Corporation&lt;/D&gt;&lt;/FQL&gt;&lt;FQL&gt;&lt;Q&gt;CBRE^FG_COMPANY_NAME&lt;/Q&gt;&lt;R&gt;1&lt;/R&gt;&lt;C&gt;1&lt;/C&gt;&lt;D xsi:type="xsd:string"&gt;CBRE Group, Inc. Class A&lt;/D&gt;&lt;/FQL&gt;&lt;FQL&gt;&lt;Q&gt;AES^FG_COMPANY_NAME&lt;/Q&gt;&lt;R&gt;1&lt;/R&gt;&lt;C&gt;1&lt;/C&gt;&lt;D xsi:type="xsd:string"&gt;AES Corporation&lt;/D&gt;&lt;/FQL&gt;&lt;FQL&gt;&lt;Q&gt;AAPL^FG_COMPANY_NAME&lt;/Q&gt;&lt;R&gt;1&lt;/R&gt;&lt;C&gt;1&lt;/C&gt;&lt;D xsi:type="xsd:string"&gt;Apple Inc.&lt;/D&gt;&lt;/FQL&gt;&lt;FQL&gt;&lt;Q&gt;SWK^FE_ESTIMATE(EPS,MEAN,QTR_ROLL,-0,0,,,'')&lt;/Q&gt;&lt;R&gt;1&lt;/R&gt;&lt;C&gt;1&lt;/C&gt;&lt;D xsi:type="xsd:double"&gt;1.41&lt;/D&gt;&lt;/FQL&gt;&lt;FQL&gt;&lt;Q&gt;LVS^FE_ESTIMATE(EPS,MEAN,QTR_ROLL,-0,0,,,'')&lt;/Q&gt;&lt;R&gt;1&lt;/R&gt;&lt;C&gt;1&lt;/C&gt;&lt;D xsi:type="xsd:double"&gt;0.85&lt;/D&gt;&lt;/FQL&gt;&lt;FQL&gt;&lt;Q&gt;JCI^FE_ESTIMATE(EPS,MEAN,QTR_ROLL,-0,0,,,'')&lt;/Q&gt;&lt;R&gt;1&lt;/R&gt;&lt;C&gt;1&lt;/C&gt;&lt;D xsi:type="xsd:double"&gt;0.89&lt;/D&gt;&lt;/FQL&gt;&lt;FQL&gt;&lt;Q&gt;GL^FE_ESTIMATE(EPS,MEAN,QTR_ROLL,-0,0,,,'')&lt;/Q&gt;&lt;R&gt;1&lt;/R&gt;&lt;C&gt;1&lt;/C&gt;&lt;D xsi:type="xsd:double"&gt;3.39&lt;/D&gt;&lt;/FQL&gt;&lt;FQL&gt;&lt;Q&gt;BRK.B^JULIAN(FF_EPS(QTR_R,0).DATES)&lt;/Q&gt;&lt;R&gt;1&lt;/R&gt;&lt;C&gt;1&lt;/C&gt;&lt;D xsi:type="xsd:long"&gt;46022&lt;/D&gt;&lt;/FQL&gt;&lt;FQL&gt;&lt;Q&gt;VTR^FG_COMPANY_NAME&lt;/Q&gt;&lt;R&gt;1&lt;/R&gt;&lt;C&gt;1&lt;/C&gt;&lt;D xsi:type="xsd:string"&gt;Ventas, Inc.&lt;/D&gt;&lt;/FQL&gt;&lt;FQL&gt;&lt;Q&gt;VRSN^FE_ESTIMATE(EPS,MEAN,QTR_ROLL,-0,0,,,'')&lt;/Q&gt;&lt;R&gt;1&lt;/R&gt;&lt;C&gt;1&lt;/C&gt;&lt;D xsi:type="xsd:double"&gt;2.23&lt;/D&gt;&lt;/FQL&gt;&lt;FQL&gt;&lt;Q&gt;DUK^FG_COMPANY_NAME&lt;/Q&gt;&lt;R&gt;1&lt;/R&gt;&lt;C&gt;1&lt;/C&gt;&lt;D xsi:type="xsd:string"&gt;Duke Energy Corporation&lt;/D&gt;&lt;/FQL&gt;&lt;FQL&gt;&lt;Q&gt;WFC^FF_EPS(QTR_R,0)&lt;/Q&gt;&lt;R&gt;1&lt;/R&gt;&lt;C&gt;1&lt;/C&gt;&lt;D xsi:type="xsd:double"&gt;1.6189&lt;/D&gt;&lt;/FQL&gt;&lt;FQL&gt;&lt;Q&gt;ROL^JULIAN(FF_EPS(QTR_R,0).DATES)&lt;/Q&gt;&lt;R&gt;1&lt;/R&gt;&lt;C&gt;1&lt;/C&gt;&lt;D xsi:type="xsd:long"&gt;46022&lt;/D&gt;&lt;/FQL&gt;&lt;FQL&gt;&lt;Q&gt;ILMN^FF_EPS(QTR_R,0)&lt;/Q&gt;&lt;R&gt;1&lt;/R&gt;&lt;C&gt;1&lt;/C&gt;&lt;D xsi:type="xsd:double"&gt;2.1688&lt;/D&gt;&lt;/FQL&gt;&lt;FQL&gt;&lt;Q&gt;HCA^FE_ESTIMATE(EPS,MEAN,QTR_ROLL,-0,0,,,'')&lt;/Q&gt;&lt;R&gt;1&lt;/R&gt;&lt;C&gt;1&lt;/C&gt;&lt;D xsi:type="xsd:double"&gt;8.01&lt;/D&gt;&lt;/FQL&gt;&lt;FQL&gt;&lt;Q&gt;FOXA^FF_EPS(QTR_R,0)&lt;/Q&gt;&lt;R&gt;1&lt;/R&gt;&lt;C&gt;1&lt;/C&gt;&lt;D xsi:type="xsd:double"&gt;0.5193&lt;/D&gt;&lt;/FQL&gt;&lt;FQL&gt;&lt;Q&gt;ETR^FF_EPS(QTR_R,0)&lt;/Q&gt;&lt;R&gt;1&lt;/R&gt;&lt;C&gt;1&lt;/C&gt;&lt;D xsi:type="xsd:double"&gt;0.5141&lt;/D&gt;&lt;/FQL&gt;&lt;FQL&gt;&lt;Q&gt;DAL^FE_ESTIMATE(EPS,MEAN,QTR_ROLL,-0,0,,,'')&lt;/Q&gt;&lt;R&gt;1&lt;/R&gt;&lt;C&gt;1&lt;/C&gt;&lt;D xsi:type="xsd:double"&gt;1.55&lt;/D&gt;&lt;/FQL&gt;&lt;FQL&gt;&lt;Q&gt;CCI^FE_ESTIMATE(EPS,MEAN,QTR_ROLL,-0,0,,,'')&lt;/Q&gt;&lt;R&gt;1&lt;/R&gt;&lt;C&gt;1&lt;/C&gt;&lt;D xsi:type="xsd:double"&gt;0.67&lt;/D&gt;&lt;/FQL&gt;&lt;FQL&gt;&lt;Q&gt;ALGN^JULIAN(FF_EPS(QTR_R,0).DATES)&lt;/Q&gt;&lt;R&gt;1&lt;/R&gt;&lt;C&gt;1&lt;/C&gt;&lt;D xsi:type="xsd:long"&gt;46022&lt;/D&gt;&lt;/FQL&gt;&lt;FQL&gt;&lt;Q&gt;MNST^FG_COMPANY_NAME&lt;/Q&gt;&lt;R&gt;1&lt;/R&gt;&lt;C&gt;1&lt;/C&gt;&lt;D xsi:type="xsd:string"&gt;Monster Beverage Corporation&lt;/D&gt;&lt;/FQL&gt;&lt;FQL&gt;&lt;Q&gt;LYB^FG_COMPANY_NAME&lt;/Q&gt;&lt;R&gt;1&lt;/R&gt;&lt;C&gt;1&lt;/C&gt;&lt;D xsi:type="xsd:string"&gt;LyondellBasell Industries NV&lt;/D&gt;&lt;/FQL&gt;&lt;FQL&gt;&lt;Q&gt;BG^FF_EPS(QTR_R,0)&lt;/Q&gt;&lt;R&gt;1&lt;/R&gt;&lt;C&gt;1&lt;/C&gt;&lt;D xsi:type="xsd:double"&gt;0.4872&lt;/D&gt;&lt;/FQL&gt;&lt;FQL&gt;&lt;Q&gt;TXT^JULIAN(FF_EPS(QTR_R,0).DATES)&lt;/Q&gt;&lt;R&gt;1&lt;/R&gt;&lt;C&gt;1&lt;/C&gt;&lt;D xsi:type="xsd:long"&gt;46022&lt;/D&gt;&lt;/FQL&gt;&lt;FQL&gt;&lt;Q&gt;ROK^FF_EPS(QTR_R,0)&lt;/Q&gt;&lt;R&gt;1&lt;/R&gt;&lt;C&gt;1&lt;/C&gt;&lt;D xsi:type="xsd:double"&gt;2.6926&lt;/D&gt;&lt;/FQL&gt;&lt;FQL&gt;&lt;Q&gt;PNR^FF_EPS(QTR_R,0)&lt;/Q&gt;&lt;R&gt;1&lt;/R&gt;&lt;C&gt;1&lt;/C&gt;&lt;D xsi:type="xsd:double"&gt;1.0085&lt;/D&gt;&lt;/FQL&gt;&lt;FQL&gt;&lt;Q&gt;ON^FE_ESTIMATE(EPS,MEAN,QTR_ROLL,-0,0,,,'')&lt;/Q&gt;&lt;R&gt;1&lt;/R&gt;&lt;C&gt;1&lt;/C&gt;&lt;D xsi:type="xsd:double"&gt;0.64&lt;/D&gt;&lt;/FQL&gt;&lt;FQL&gt;&lt;Q&gt;MMC^JULIAN(FF_EPS(QTR_R,0).DATES)&lt;/Q&gt;&lt;R&gt;1&lt;/R&gt;&lt;C&gt;1&lt;/C&gt;&lt;D xsi:type="xsd:long"&gt;46022&lt;/D&gt;&lt;/FQL&gt;&lt;FQL&gt;&lt;Q&gt;FCNCA^FF_EPS(QTR_R,0)&lt;/Q&gt;&lt;R&gt;1&lt;/R&gt;&lt;C&gt;1&lt;/C&gt;&lt;D xsi:type="xsd:double"&gt;45.7817&lt;/D&gt;&lt;/FQL&gt;&lt;FQL&gt;&lt;Q&gt;DVA^FF_EPS(QTR_R,0)&lt;/Q&gt;&lt;R&gt;1&lt;/R&gt;&lt;C&gt;1&lt;/C&gt;&lt;D xsi:type="xsd:double"&gt;2.9359&lt;/D&gt;&lt;/FQL&gt;&lt;FQL&gt;&lt;Q&gt;DIS^JULIAN(FF_EPS(QTR_R,0).DATES)&lt;/Q&gt;&lt;R&gt;1&lt;/R&gt;&lt;C&gt;1&lt;/C&gt;&lt;D xsi:type="xsd:long"&gt;46022&lt;/D&gt;&lt;/FQL&gt;&lt;FQL&gt;&lt;Q&gt;DAL^FF_EPS(QTR_R,0)&lt;/Q&gt;&lt;R&gt;1&lt;/R&gt;&lt;C&gt;1&lt;/C&gt;&lt;D xsi:type="xsd:double"&gt;1.8582&lt;/D&gt;&lt;/FQL&gt;&lt;FQL&gt;&lt;Q&gt;CPB^FE_ESTIMATE(EPS,MEAN,QTR_ROLL,-0,0,,,'')&lt;/Q&gt;&lt;R&gt;1&lt;/R&gt;&lt;C&gt;1&lt;/C&gt;&lt;D xsi:type="xsd:double"&gt;0.51&lt;/D&gt;&lt;/FQL&gt;&lt;FQL&gt;&lt;Q&gt;CNP^FE_ESTIMATE(EPS,MEAN,QTR_ROLL,-0,0,,,'')&lt;/Q&gt;&lt;R&gt;1&lt;/R&gt;&lt;C&gt;1&lt;/C&gt;&lt;D xsi:type="xsd:double"&gt;0.45&lt;/D&gt;&lt;/FQL&gt;&lt;FQL&gt;&lt;Q&gt;CCI^FF_EPS(QTR_R,0)&lt;/Q&gt;&lt;R&gt;1&lt;/R&gt;&lt;C&gt;1&lt;/C&gt;&lt;D xsi:type="xsd:double"&gt;1.2723&lt;/D&gt;&lt;/FQL&gt;&lt;FQL&gt;&lt;Q&gt;BR^JULIAN(FF_EPS(QTR_R,0).DATES)&lt;/Q&gt;&lt;R&gt;1&lt;/R&gt;&lt;C&gt;1&lt;/C&gt;&lt;D xsi:type="xsd:long"&gt;46022&lt;/D&gt;&lt;/FQL&gt;&lt;FQL&gt;&lt;Q&gt;AVB^FF_EPS(QTR_R,0)&lt;/Q&gt;&lt;R&gt;1&lt;/R&gt;&lt;C&gt;1&lt;/C&gt;&lt;D xsi:type="xsd:double"&gt;1.1675&lt;/D&gt;&lt;/FQL&gt;&lt;FQL&gt;&lt;Q&gt;APA^FF_EPS(QTR_R,0)&lt;/Q&gt;&lt;R&gt;1&lt;/R&gt;&lt;C&gt;1&lt;/C&gt;&lt;D xsi:type="xsd:double"&gt;0.7859&lt;/D&gt;&lt;/FQL&gt;&lt;FQL&gt;&lt;Q&gt;AEP^FE_ESTIMATE(EPS,MEAN,QTR_ROLL,-0,0,,,'')&lt;/Q&gt;&lt;R&gt;1&lt;/R&gt;&lt;C&gt;1&lt;/C&gt;&lt;D xsi:type="xsd:double"&gt;1.19&lt;/D&gt;&lt;/FQL&gt;&lt;FQL&gt;&lt;Q&gt;ACGL^FE_ESTIMATE(EPS,MEAN,QTR_ROLL,-0,0,,,'')&lt;/Q&gt;&lt;R&gt;1&lt;/R&gt;&lt;C&gt;1&lt;/C&gt;&lt;D xsi:type="xsd:double"&gt;2.98&lt;/D&gt;&lt;/FQL&gt;&lt;FQL&gt;&lt;Q&gt;SYK^FG_COMPANY_NAME&lt;/Q&gt;&lt;R&gt;1&lt;/R&gt;&lt;C&gt;1&lt;/C&gt;&lt;D xsi:type="xsd:string"&gt;Stryker Corporation&lt;/D&gt;&lt;/FQL&gt;&lt;FQL&gt;&lt;Q&gt;SCHW^FG_COMPANY_NAME&lt;/Q&gt;&lt;R&gt;1&lt;/R&gt;&lt;C&gt;1&lt;/C&gt;&lt;D xsi:type="xsd:string"&gt;Charles Schwab Corp&lt;/D&gt;&lt;/FQL&gt;&lt;FQL&gt;&lt;Q&gt;PFE^FG_COMPANY_NAME&lt;/Q&gt;&lt;R&gt;1&lt;/R&gt;&lt;C&gt;1&lt;/C&gt;&lt;D xsi:type="xsd:string"&gt;Pfizer Inc.&lt;/D&gt;&lt;/FQL&gt;&lt;FQL&gt;&lt;Q&gt;NWSA^FG_COMPANY_NAME&lt;/Q&gt;&lt;R&gt;1&lt;/R&gt;&lt;C&gt;1&lt;/C&gt;&lt;D xsi:type="xsd:string"&gt;News Corporation Class A&lt;/D&gt;&lt;/FQL&gt;&lt;FQL&gt;&lt;Q&gt;MA^FG_COMPANY_NAME&lt;/Q&gt;&lt;R&gt;1&lt;/R&gt;&lt;C&gt;1&lt;/C&gt;&lt;D xsi:type="xsd:string"&gt;Mastercard Incorporated Class A&lt;/D&gt;&lt;/FQL&gt;&lt;FQL&gt;&lt;Q&gt;L^FG_COMPANY_NAME&lt;/Q&gt;&lt;R&gt;1&lt;/R&gt;&lt;C&gt;1&lt;/C&gt;&lt;D xsi:type="xsd:string"&gt;Loews Corporation&lt;/D&gt;&lt;/FQL&gt;&lt;FQL&gt;&lt;Q&gt;ILMN^FG_COMPANY_NAME&lt;/Q&gt;&lt;R&gt;1&lt;/R&gt;&lt;C&gt;1&lt;/C&gt;&lt;D xsi:type="xsd:string"&gt;Illumina, Inc.&lt;/D&gt;&lt;/FQL&gt;&lt;FQL&gt;&lt;Q&gt;HCA^FG_COMPANY_NAME&lt;/Q&gt;&lt;R&gt;1&lt;/R&gt;&lt;C&gt;1&lt;/C&gt;&lt;D xsi:type="xsd:string"&gt;HCA Healthcare Inc&lt;/D&gt;&lt;/FQL&gt;&lt;FQL&gt;&lt;Q&gt;AMGN^FG_COMPANY_NAME&lt;/Q&gt;&lt;R&gt;1&lt;/R&gt;&lt;C&gt;1&lt;/C&gt;&lt;D xsi:type="xsd:string"&gt;Amgen Inc.&lt;/D&gt;&lt;/FQL&gt;&lt;FQL&gt;&lt;Q&gt;AEE^FG_COMPANY_NAME&lt;/Q&gt;&lt;R&gt;1&lt;/R&gt;&lt;C&gt;1&lt;/C&gt;&lt;D xsi:type="xsd:string"&gt;Ameren Corporation&lt;/D&gt;&lt;/FQL&gt;&lt;FQL&gt;&lt;Q&gt;A^FG_COMPANY_NAME&lt;/Q&gt;&lt;R&gt;1&lt;/R&gt;&lt;C&gt;1&lt;/C&gt;&lt;D xsi:type="xsd:string"&gt;Agilent Technologies, Inc.&lt;/D&gt;&lt;/FQL&gt;&lt;FQL&gt;&lt;Q&gt;WELL^JULIAN(FF_EPS(QTR_R,0).DATES)&lt;/Q&gt;&lt;R&gt;1&lt;/R&gt;&lt;C&gt;1&lt;/C&gt;&lt;D xsi:type="xsd:long"&gt;46022&lt;/D&gt;&lt;/FQL&gt;&lt;FQL&gt;&lt;Q&gt;TXN^FF_EPS(QTR_R,0)&lt;/Q&gt;&lt;R&gt;1&lt;/R&gt;&lt;C&gt;1&lt;/C&gt;&lt;D xsi:type="xsd:double"&gt;1.2689&lt;/D&gt;&lt;/FQL&gt;&lt;FQL&gt;&lt;Q&gt;PM^FE_ESTIMATE(EPS,MEAN,QTR_ROLL,-0,0,,,'')&lt;/Q&gt;&lt;R&gt;1&lt;/R&gt;&lt;C&gt;1&lt;/C&gt;&lt;D xsi:type="xsd:double"&gt;1.7&lt;/D&gt;&lt;/FQL&gt;&lt;FQL&gt;&lt;Q&gt;NDAQ^FF_EPS(QTR_R,0)&lt;/Q&gt;&lt;R&gt;1&lt;/R&gt;&lt;C&gt;1&lt;/C&gt;&lt;D xsi:type="xsd:double"&gt;0.9003&lt;/D&gt;&lt;/FQL&gt;&lt;FQL&gt;&lt;Q&gt;MLM^FF_EPS(QTR_R,0)&lt;/Q&gt;&lt;R&gt;1&lt;/R&gt;&lt;C&gt;1&lt;/C&gt;&lt;D xsi:type="xsd:double"&gt;4.6116&lt;/D&gt;&lt;/FQL&gt;&lt;FQL&gt;&lt;Q&gt;LVS^FF_EPS(QTR_R,0)&lt;/Q&gt;&lt;R&gt;1&lt;/R&gt;&lt;C&gt;1&lt;/C&gt;&lt;D xsi:type="xsd:double"&gt;0.5826&lt;/D&gt;&lt;/FQL&gt;&lt;FQL&gt;&lt;Q&gt;KMI^JULIAN(FF_EPS(QTR_R,0).DATES)&lt;/Q&gt;&lt;R&gt;1&lt;/R&gt;&lt;C&gt;1&lt;/C&gt;&lt;D xsi:type="xsd:long"&gt;46022&lt;/D&gt;&lt;/FQL&gt;&lt;FQL&gt;&lt;Q&gt;ISRG^FE_ESTIMATE(EPS,MEAN,QTR_ROLL,-0,0,,,'')&lt;/Q&gt;&lt;R&gt;1&lt;/R&gt;&lt;C&gt;1&lt;/C&gt;&lt;D xsi:type="xsd:double"&gt;2.53&lt;/D&gt;&lt;/FQL&gt;&lt;FQL&gt;&lt;Q&gt;IFF^FE_ESTIMATE(EPS,MEAN,QTR_ROLL,-0,0,,,'')&lt;/Q&gt;&lt;R&gt;1&lt;/R&gt;&lt;C&gt;1&lt;/C&gt;&lt;D xsi:type="xsd:double"&gt;0.8&lt;/D&gt;&lt;/FQL&gt;&lt;FQL&gt;&lt;Q&gt;HCA^FF_EPS(QTR_R,0)&lt;/Q&gt;&lt;R&gt;1&lt;/R&gt;&lt;C&gt;1&lt;/C&gt;&lt;D xsi:type="xsd:double"&gt;8.1401&lt;/D&gt;&lt;/FQL&gt;&lt;FQL&gt;&lt;Q&gt;FOXA^JULIAN(FF_EPS(QTR_R,0).DATES)&lt;/Q&gt;&lt;R&gt;1&lt;/R&gt;&lt;C&gt;1&lt;/C&gt;&lt;D xsi:type="xsd:long"&gt;46022&lt;/D&gt;&lt;/FQL&gt;&lt;FQL&gt;&lt;Q&gt;ESS^FE_ESTIMATE(EPS,MEAN,QTR_ROLL,-0,0,,,'')&lt;/Q&gt;&lt;R&gt;1&lt;/R&gt;&lt;C&gt;1&lt;/C&gt;&lt;D xsi:type="xsd:double"&gt;1.25&lt;/D&gt;&lt;/FQL&gt;&lt;FQL&gt;&lt;Q&gt;EMN^JULIAN(FF_EPS(QTR_R,0).DATES)&lt;/Q&gt;&lt;R&gt;1&lt;/R&gt;&lt;C&gt;1&lt;/C&gt;&lt;D xsi:type="xsd:long"&gt;46022&lt;/D&gt;&lt;/FQL&gt;&lt;FQL&gt;&lt;Q&gt;D^FE_ESTIMATE(EPS,MEAN,QTR_ROLL,-0,0,,,'')&lt;/Q&gt;&lt;R&gt;1&lt;/R&gt;&lt;C&gt;1&lt;/C&gt;&lt;D xsi:type="xsd:double"&gt;0.68&lt;/D&gt;&lt;/FQL&gt;&lt;FQL&gt;&lt;Q&gt;CTAS^FE_ESTIMATE(EPS,MEAN,QTR_ROLL,-0,0,,,'')&lt;/Q&gt;&lt;R&gt;1&lt;/R&gt;&lt;C&gt;1&lt;/C&gt;&lt;D xsi:type="xsd:double"&gt;1.24&lt;/D&gt;&lt;/FQL&gt;&lt;FQL&gt;&lt;Q&gt;CF^FE_ESTIMATE(EPS,MEAN,QTR_ROLL,-0,0,,,'')&lt;/Q&gt;&lt;R&gt;1&lt;/R&gt;&lt;C&gt;1&lt;/C&gt;&lt;D xsi:type="xsd:double"&gt;2.724529&lt;/D&gt;&lt;/FQL&gt;&lt;FQL&gt;&lt;Q&gt;CCI^JULIAN(FF_EPS(QTR_R,0).DATES)&lt;/Q&gt;&lt;R&gt;1&lt;/R&gt;&lt;C&gt;1&lt;/C&gt;&lt;D xsi:type="xsd:long"&gt;46022&lt;/D&gt;&lt;/FQL&gt;&lt;FQL&gt;&lt;Q&gt;BMY^FE_ESTIMATE(EPS,MEAN,QTR_ROLL,-0,0,,,'')&lt;/Q&gt;&lt;R&gt;1&lt;/R&gt;&lt;C&gt;1&lt;/C&gt;&lt;D xsi:type="xsd:double"&gt;1.26&lt;/D&gt;&lt;/FQL&gt;&lt;FQL&gt;&lt;Q&gt;AME^FF_EPS(QTR_R,0)&lt;/Q&gt;&lt;R&gt;1&lt;/R&gt;&lt;C&gt;1&lt;/C&gt;&lt;D xsi:type="xsd:double"&gt;1.7304&lt;/D&gt;&lt;/FQL&gt;&lt;FQL&gt;&lt;Q&gt;ALB^FE_ESTIMATE(EPS,MEAN,QTR_ROLL,-0,0,,,'')&lt;/Q&gt;&lt;R&gt;1&lt;/R&gt;&lt;C&gt;1&lt;/C&gt;&lt;D xsi:type="xsd:double"&gt;-0.53&lt;/D&gt;&lt;/FQL&gt;&lt;FQL&gt;&lt;Q&gt;TSLA^FG_COMPANY_NAME&lt;/Q&gt;&lt;R&gt;1&lt;/R&gt;&lt;C&gt;1&lt;/C&gt;&lt;D xsi:type="xsd:string"&gt;Tesla, Inc.&lt;/D&gt;&lt;/FQL&gt;&lt;FQL&gt;&lt;Q&gt;IEX^FG_COMPANY_NAME&lt;/Q&gt;&lt;R&gt;1&lt;/R&gt;&lt;C&gt;1&lt;/C&gt;&lt;D xsi:type="xsd:string"&gt;IDEX Corporation&lt;/D&gt;&lt;/FQL&gt;&lt;FQL&gt;&lt;Q&gt;CPT^FG_COMPANY_NAME&lt;/Q&gt;&lt;R&gt;1&lt;/R&gt;&lt;C&gt;1&lt;/C&gt;&lt;D xsi:type="xsd:string"&gt;Camden Property Trust&lt;/D&gt;&lt;/FQL&gt;&lt;FQL&gt;&lt;Q&gt;NVDA^JULIAN(FF_EPS(QTR_R,0).DATES)&lt;/Q&gt;&lt;R&gt;1&lt;/R&gt;&lt;C&gt;1&lt;/C&gt;&lt;D xsi:type="xsd:long"&gt;46052&lt;/D&gt;&lt;/FQL&gt;&lt;FQL&gt;&lt;Q&gt;ICE^JULIAN(FF_EPS(QTR_R,0).DATES)&lt;/Q&gt;&lt;R&gt;1&lt;/R&gt;&lt;C&gt;1&lt;/C&gt;&lt;D xsi:type="xsd:long"&gt;46022&lt;/D&gt;&lt;/FQL&gt;&lt;FQL&gt;&lt;Q&gt;DVA^JULIAN(FF_EPS(QTR_R,0).DATES)&lt;/Q&gt;&lt;R&gt;1&lt;/R&gt;&lt;C&gt;1&lt;/C&gt;&lt;D xsi:type="xsd:long"&gt;46022&lt;/D&gt;&lt;/FQL&gt;&lt;FQL&gt;&lt;Q&gt;BXP^FE_ESTIMATE(EPS,MEAN,QTR_ROLL,-0,0,,,'')&lt;/Q&gt;&lt;R&gt;1&lt;/R&gt;&lt;C&gt;1&lt;/C&gt;&lt;D xsi:type="xsd:double"&gt;1.56&lt;/D&gt;&lt;/FQL&gt;&lt;FQL&gt;&lt;Q&gt;ATVI^FE_ESTIMATE(EPS,MEAN,QTR_ROLL,-0,0,,,'')&lt;/Q&gt;&lt;R&gt;0&lt;/R&gt;&lt;C&gt;0&lt;/C&gt;&lt;/FQL&gt;&lt;FQL&gt;&lt;Q&gt;TSCO^FG_COMPANY_NAME&lt;/Q&gt;&lt;R&gt;1&lt;/R&gt;&lt;C&gt;1&lt;/C&gt;&lt;D xsi:type="xsd:string"&gt;Tractor Supply Company&lt;/D&gt;&lt;/FQL&gt;&lt;FQL&gt;&lt;Q&gt;CL^FG_COMPANY_NAME&lt;/Q&gt;&lt;R&gt;1&lt;/R&gt;&lt;C&gt;1&lt;/C&gt;&lt;D xsi:type="xsd:string"&gt;Colgate-Palmolive Company&lt;/D&gt;&lt;/FQL&gt;&lt;FQL&gt;&lt;Q&gt;LUV^FE_ESTIMATE(EPS,MEAN,QTR_ROLL,-0,0,,,'')&lt;/Q&gt;&lt;R&gt;1&lt;/R&gt;&lt;C&gt;1&lt;/C&gt;&lt;D xsi:type="xsd:double"&gt;0.58&lt;/D&gt;&lt;/FQL&gt;&lt;FQL&gt;&lt;Q&gt;FOX^FF_EPS(QTR_R,0)&lt;/Q&gt;&lt;R&gt;1&lt;/R&gt;&lt;C&gt;1&lt;/C&gt;&lt;D xsi:type="xsd:double"&gt;0.5193&lt;/D&gt;&lt;/FQL&gt;&lt;FQL&gt;&lt;Q&gt;EFX^FE_ESTIMATE(EPS,MEAN,QTR_ROLL,-0,0,,,'')&lt;/Q&gt;&lt;R&gt;1&lt;/R&gt;&lt;C&gt;1&lt;/C&gt;&lt;D xsi:type="xsd:double"&gt;2.09&lt;/D&gt;&lt;/FQL&gt;&lt;FQL&gt;&lt;Q&gt;CBOE^JULIAN(FF_EPS(QTR_R,0).DATES)&lt;/Q&gt;&lt;R&gt;1&lt;/R&gt;&lt;C&gt;1&lt;/C&gt;&lt;D xsi:type="xsd:long"&gt;46022&lt;/D&gt;&lt;/FQL&gt;&lt;FQL&gt;&lt;Q&gt;ATVI^FF_EPS(QTR_R,0)&lt;/Q&gt;&lt;R&gt;1&lt;/R&gt;&lt;C&gt;1&lt;/C&gt;&lt;D xsi:type="xsd:double"&gt;0.7393&lt;/D&gt;&lt;/FQL&gt;&lt;FQL&gt;&lt;Q&gt;ABT^FE_ESTIMATE(EPS,MEAN,QTR_ROLL,-0,0,,,'')&lt;/Q&gt;&lt;R&gt;1&lt;/R&gt;&lt;C&gt;1&lt;/C&gt;&lt;D xsi:type="xsd:double"&gt;1.5&lt;/D&gt;&lt;/FQL&gt;&lt;FQL&gt;&lt;Q&gt;VLTO^FF_EPS(QTR_R,0)&lt;/Q&gt;&lt;R&gt;1&lt;/R&gt;&lt;C&gt;1&lt;/C&gt;&lt;D xsi:type="xsd:double"&gt;1.014&lt;/D&gt;&lt;/FQL&gt;&lt;FQL&gt;&lt;Q&gt;TGT^FF_EPS(QTR_R,0)&lt;/Q&gt;&lt;R&gt;1&lt;/R&gt;&lt;C&gt;1&lt;/C&gt;&lt;D xsi:type="xsd:double"&gt;2.2984&lt;/D&gt;&lt;/FQL&gt;&lt;FQL&gt;&lt;Q&gt;SLB^FF_EPS(QTR_R,0)&lt;/Q&gt;&lt;R&gt;1&lt;/R&gt;&lt;C&gt;1&lt;/C&gt;&lt;D xsi:type="xsd:double"&gt;0.5453&lt;/D&gt;&lt;/FQL&gt;&lt;FQL&gt;&lt;Q&gt;PXD^JULIAN(FF_EPS(QTR_R,0).DATES)&lt;/Q&gt;&lt;R&gt;1&lt;/R&gt;&lt;C&gt;1&lt;/C&gt;&lt;D xsi:type="xsd:long"&gt;45379&lt;/D&gt;&lt;/FQL&gt;&lt;FQL&gt;&lt;Q&gt;NTRS^FF_EPS(QTR_R,0)&lt;/Q&gt;&lt;R&gt;1&lt;/R&gt;&lt;C&gt;1&lt;/C&gt;&lt;D xsi:type="xsd:double"&gt;2.4234&lt;/D&gt;&lt;/FQL&gt;&lt;FQL&gt;&lt;Q&gt;LHX^JULIAN(FF_EPS(QTR_R,0).DATES)&lt;/Q&gt;&lt;R&gt;1&lt;/R&gt;&lt;C&gt;1&lt;/C&gt;&lt;D xsi:type="xsd:long"&gt;46022&lt;/D&gt;&lt;/FQL&gt;&lt;FQL&gt;&lt;Q&gt;IR^FF_EPS(QTR_R,0)&lt;/Q&gt;&lt;R&gt;1&lt;/R&gt;&lt;C&gt;1&lt;/C&gt;&lt;D xsi:type="xsd:double"&gt;0.6723&lt;/D&gt;&lt;/FQL&gt;&lt;FQL&gt;&lt;Q&gt;HSY^JULIAN(FF_EPS(QTR_R,0).DATES)&lt;/Q&gt;&lt;R&gt;1&lt;/R&gt;&lt;C&gt;1&lt;/C&gt;&lt;D xsi:type="xsd:long"&gt;46022&lt;/D&gt;&lt;/FQL&gt;&lt;FQL&gt;&lt;Q&gt;GOOGL^FE_ESTIMATE(EPS,MEAN,QTR_ROLL,-0,0,,,'')&lt;/Q&gt;&lt;R&gt;1&lt;/R&gt;&lt;C&gt;1&lt;/C&gt;&lt;D xsi:type="xsd:double"&gt;2.82&lt;/D&gt;&lt;/FQL&gt;&lt;FQL&gt;&lt;Q&gt;EQIX^FF_EPS(QTR_R,0)&lt;/Q&gt;&lt;R&gt;1&lt;/R&gt;&lt;C&gt;1&lt;/C&gt;&lt;D xsi:type="xsd:double"&gt;2.6937&lt;/D&gt;&lt;/FQL&gt;&lt;FQL&gt;&lt;Q&gt;DPZ^FF_EPS(QTR_R,0)&lt;/Q&gt;&lt;R&gt;1&lt;/R&gt;&lt;C&gt;1&lt;/C&gt;&lt;D xsi:type="xsd:double"&gt;5.349&lt;/D&gt;&lt;/FQL&gt;&lt;FQL&gt;&lt;Q&gt;CTVA^FF_EPS(QTR_R,0)&lt;/Q&gt;&lt;R&gt;1&lt;/R&gt;&lt;C&gt;1&lt;/C&gt;&lt;D xsi:type="xsd:double"&gt;-0.8181&lt;/D&gt;&lt;/FQL&gt;&lt;FQL&gt;&lt;Q&gt;CRWD^JULIAN(FF_EPS(QTR_R,0).DATES)&lt;/Q&gt;&lt;R&gt;1&lt;/R&gt;&lt;C&gt;1&lt;/C&gt;&lt;D xsi:type="xsd:long"&gt;46052&lt;/D&gt;&lt;/FQL&gt;&lt;FQL&gt;&lt;Q&gt;COR^FF_EPS(QTR_R,0)&lt;/Q&gt;&lt;R&gt;1&lt;/R&gt;&lt;C&gt;1&lt;/C&gt;&lt;D xsi:type="xsd:double"&gt;2.8653&lt;/D&gt;&lt;/FQL&gt;&lt;FQL&gt;&lt;Q&gt;CDNS^FE_ESTIMATE(EPS,MEAN,QTR_ROLL,-0,0,,,'')&lt;/Q&gt;&lt;R&gt;1&lt;/R&gt;&lt;C&gt;1&lt;/C&gt;&lt;D xsi:type="xsd:double"&gt;1.99&lt;/D&gt;&lt;/FQL&gt;&lt;FQL&gt;&lt;Q&gt;BSX^FF_EPS(QTR_R,0)&lt;/Q&gt;&lt;R&gt;1&lt;/R&gt;&lt;C&gt;1&lt;/C&gt;&lt;D xsi:type="xsd:double"&gt;0.4493&lt;/D&gt;&lt;/FQL&gt;&lt;FQL&gt;&lt;Q&gt;AXP^JULIAN(FF_EPS(QTR_R,0).DATES)&lt;/Q&gt;&lt;R&gt;1&lt;/R&gt;&lt;C&gt;1&lt;/C&gt;&lt;D xsi:type="xsd:long"&gt;46022&lt;/D&gt;&lt;/FQL&gt;&lt;FQL&gt;&lt;Q&gt;AMAT^FF_EPS(QTR_R,0)&lt;/Q&gt;&lt;R&gt;1&lt;/R&gt;&lt;C&gt;1&lt;/C&gt;&lt;D xsi:type="xsd:double"&gt;2.5357&lt;/D&gt;&lt;/FQL&gt;&lt;FQL&gt;&lt;Q&gt;AIZ^JULIAN(FF_EPS(QTR_R,0).DATES)&lt;/Q&gt;&lt;R&gt;1&lt;/R&gt;&lt;C&gt;1&lt;/C&gt;&lt;D xsi:type="xsd:long"&gt;46022&lt;/D&gt;&lt;/FQL&gt;&lt;FQL&gt;&lt;Q&gt;ADP^FF_EPS(QTR_R,0)&lt;/Q&gt;&lt;R&gt;1&lt;/R&gt;&lt;C&gt;1&lt;/C&gt;&lt;D xsi:type="xsd:double"&gt;2.6242&lt;/D&gt;&lt;/FQL&gt;&lt;FQL&gt;&lt;Q&gt;WMB^FG_COMPANY_NAME&lt;/Q&gt;&lt;R&gt;1&lt;/R&gt;&lt;C&gt;1&lt;/C&gt;&lt;D xsi:type="xsd:string"&gt;Williams Companies, Inc.&lt;/D&gt;&lt;/FQL&gt;&lt;FQL&gt;&lt;Q&gt;UNH^FG_COMPANY_NAME&lt;/Q&gt;&lt;R&gt;1&lt;/R&gt;&lt;C&gt;1&lt;/C&gt;&lt;D xsi:type="xsd:string"&gt;UnitedHealth Group Incorporated&lt;/D&gt;&lt;/FQL&gt;&lt;FQL&gt;&lt;Q&gt;TMO^FG_COMPANY_NAME&lt;/Q&gt;&lt;R&gt;1&lt;/R&gt;&lt;C&gt;1&lt;/C&gt;&lt;D xsi:type="xsd:string"&gt;Thermo Fisher Scientific Inc.&lt;/D&gt;&lt;/FQL&gt;&lt;FQL&gt;&lt;Q&gt;SPGI^FG_COMPANY_NAME&lt;/Q&gt;&lt;R&gt;1&lt;/R&gt;&lt;C&gt;1&lt;/C&gt;&lt;D xsi:type="xsd:string"&gt;S&amp;amp;P Global, Inc.&lt;/D&gt;&lt;/FQL&gt;&lt;FQL&gt;&lt;Q&gt;RL^FG_COMPANY_NAME&lt;/Q&gt;&lt;R&gt;1&lt;/R&gt;&lt;C&gt;1&lt;/C&gt;&lt;D xsi:type="xsd:string"&gt;Ralph Lauren Corporation Class A&lt;/D&gt;&lt;/FQL&gt;&lt;FQL&gt;&lt;Q&gt;PM^FG_COMPANY_NAME&lt;/Q&gt;&lt;R&gt;1&lt;/R&gt;&lt;C&gt;1&lt;/C&gt;&lt;D xsi:type="xsd:string"&gt;Philip Morris International Inc.&lt;/D&gt;&lt;/FQL&gt;&lt;FQL&gt;&lt;Q&gt;MRO^FG_COMPANY_NAME&lt;/Q&gt;&lt;R&gt;1&lt;/R&gt;&lt;C&gt;1&lt;/C&gt;&lt;D xsi:type="xsd:string"&gt;Marathon Oil Corporation&lt;/D&gt;&lt;/FQL&gt;&lt;FQL&gt;&lt;Q&gt;IR^FG_COMPANY_NAME&lt;/Q&gt;&lt;R&gt;1&lt;/R&gt;&lt;C&gt;1&lt;/C&gt;&lt;D xsi:type="xsd:string"&gt;Ingersoll Rand Inc.&lt;/D&gt;&lt;/FQL&gt;&lt;FQL&gt;&lt;Q&gt;DLTR^FG_COMPANY_NAME&lt;/Q&gt;&lt;R&gt;1&lt;/R&gt;&lt;C&gt;1&lt;/C&gt;&lt;D xsi:type="xsd:string"&gt;Dollar Tree, Inc.&lt;/D&gt;&lt;/FQL&gt;&lt;FQL&gt;&lt;Q&gt;CTSH^FG_COMPANY_NAME&lt;/Q&gt;&lt;R&gt;1&lt;/R&gt;&lt;C&gt;1&lt;/C&gt;&lt;D xsi:type="xsd:string"&gt;Cognizant Technology Solutions Corporation Class A&lt;/D&gt;&lt;/FQL&gt;&lt;FQL&gt;&lt;Q&gt;COF^FG_COMPANY_NAME&lt;/Q&gt;&lt;R&gt;1&lt;/R&gt;&lt;C&gt;1&lt;/C&gt;&lt;D xsi:type="xsd:string"&gt;Capital One Financial Corp&lt;/D&gt;&lt;/FQL&gt;&lt;FQL&gt;&lt;Q&gt;CEG^FG_COMPANY_NAME&lt;/Q&gt;&lt;R&gt;1&lt;/R&gt;&lt;C&gt;1&lt;/C&gt;&lt;D xsi:type="xsd:string"&gt;Constellation Energy Corporation&lt;/D&gt;&lt;/FQL&gt;&lt;FQL&gt;&lt;Q&gt;APA^FG_COMPANY_NAME&lt;/Q&gt;&lt;R&gt;1&lt;/R&gt;&lt;C&gt;1&lt;/C&gt;&lt;D xsi:type="xsd:string"&gt;APA Corporation&lt;/D&gt;&lt;/FQL&gt;&lt;FQL&gt;&lt;Q&gt;ALB^FG_COMPANY_NAME&lt;/Q&gt;&lt;R&gt;1&lt;/R&gt;&lt;C&gt;1&lt;/C&gt;&lt;D xsi:type="xsd:string"&gt;Albemarle Corporation&lt;/D&gt;&lt;/FQL&gt;&lt;FQL&gt;&lt;Q&gt;ADI^FG_COMPANY_NAME&lt;/Q&gt;&lt;R&gt;1&lt;/R&gt;&lt;C&gt;1&lt;/C&gt;&lt;D xsi:type="xsd:string"&gt;Analog Devices, Inc.&lt;/D&gt;&lt;/FQL&gt;&lt;FQL&gt;&lt;Q&gt;VLTO^JULIAN(FF_EPS(QTR_R,0).DATES)&lt;/Q&gt;&lt;R&gt;1&lt;/R&gt;&lt;C&gt;1&lt;/C&gt;&lt;D xsi:type="xsd:long"&gt;46022&lt;/D&gt;&lt;/FQL&gt;&lt;FQL&gt;&lt;Q&gt;TFC^FE_ESTIMATE(EPS,MEAN,QTR_ROLL,-0,0,,,'')&lt;/Q&gt;&lt;R&gt;1&lt;/R&gt;&lt;C&gt;1&lt;/C&gt;&lt;D xsi:type="xsd:double"&gt;1&lt;/D&gt;&lt;/FQL&gt;&lt;FQL&gt;&lt;Q&gt;SJM^FE_ESTIMATE(EPS,MEAN,QTR_ROLL,-0,0,,,'')&lt;/Q&gt;&lt;R&gt;1&lt;/R&gt;&lt;C&gt;1&lt;/C&gt;&lt;D xsi:type="xsd:double"&gt;2.38&lt;/D&gt;&lt;/FQL&gt;&lt;FQL&gt;&lt;Q&gt;NTAP^FE_ESTIMATE(EPS,MEAN,QTR_ROLL,-0,0,,,'')&lt;/Q&gt;&lt;R&gt;1&lt;/R&gt;&lt;C&gt;1&lt;/C&gt;&lt;D xsi:type="xsd:double"&gt;2.12&lt;/D&gt;&lt;/FQL&gt;&lt;FQL&gt;&lt;Q&gt;MRNA^JULIAN(FF_EPS(QTR_R,0).DATES)&lt;/Q&gt;&lt;R&gt;1&lt;/R&gt;&lt;C&gt;1&lt;/C&gt;&lt;D xsi:type="xsd:long"&gt;46022&lt;/D&gt;&lt;/FQL&gt;&lt;FQL&gt;&lt;Q&gt;MCK^FE_ESTIMATE(EPS,MEAN,QTR_ROLL,-0,0,,,'')&lt;/Q&gt;&lt;R&gt;1&lt;/R&gt;&lt;C&gt;1&lt;/C&gt;&lt;D xsi:type="xsd:double"&gt;9.34&lt;/D&gt;&lt;/FQL&gt;&lt;FQL&gt;&lt;Q&gt;JNPR^FF_EPS(QTR_R,0)&lt;/Q&gt;&lt;R&gt;1&lt;/R&gt;&lt;C&gt;1&lt;/C&gt;&lt;D xsi:type="xsd:double"&gt;0.21&lt;/D&gt;&lt;/FQL&gt;&lt;FQL&gt;&lt;Q&gt;HST^FE_ESTIMATE(EPS,MEAN,QTR_ROLL,-0,0,,,'')&lt;/Q&gt;&lt;R&gt;1&lt;/R&gt;&lt;C&gt;1&lt;/C&gt;&lt;D xsi:type="xsd:double"&gt;0.2&lt;/D&gt;&lt;/FQL&gt;&lt;FQL&gt;&lt;Q&gt;FFIV^FF_EPS(QTR_R,0)&lt;/Q&gt;&lt;R&gt;1&lt;/R&gt;&lt;C&gt;1&lt;/C&gt;&lt;D xsi:type="xsd:double"&gt;3.0956&lt;/D&gt;&lt;/FQL&gt;&lt;FQL&gt;&lt;Q&gt;EXR^JULIAN(FF_EPS(QTR_R,0).DATES)&lt;/Q&gt;&lt;R&gt;1&lt;/R&gt;&lt;C&gt;1&lt;/C&gt;&lt;D xsi:type="xsd:long"&gt;46022&lt;/D&gt;&lt;/FQL&gt;&lt;FQL&gt;&lt;Q&gt;EQIX^JULIAN(FF_EPS(QTR_R,0).DATES)&lt;/Q&gt;&lt;R&gt;1&lt;/R&gt;&lt;C&gt;1&lt;/C&gt;&lt;D xsi:type="xsd:long"&gt;46022&lt;/D&gt;&lt;/FQL&gt;&lt;FQL&gt;&lt;Q&gt;DOW^JULIAN(FF_EPS(QTR_R,0).DATES)&lt;/Q&gt;&lt;R&gt;1&lt;/R&gt;&lt;C&gt;1&lt;/C&gt;&lt;D xsi:type="xsd:long"&gt;46022&lt;/D&gt;&lt;/FQL&gt;&lt;FQL&gt;&lt;Q&gt;DFS^FF_EPS(QTR_R,0)&lt;/Q&gt;&lt;R&gt;1&lt;/R&gt;&lt;C&gt;1&lt;/C&gt;&lt;D xsi:type="xsd:double"&gt;4.2421&lt;/D&gt;&lt;/FQL&gt;&lt;FQL&gt;&lt;Q&gt;CRM^FE_ESTIMATE(EPS,MEAN,QTR_ROLL,-0,0,,,'')&lt;/Q&gt;&lt;R&gt;1&lt;/R&gt;&lt;C&gt;1&lt;/C&gt;&lt;D xsi:type="xsd:double"&gt;3.81&lt;/D&gt;&lt;/FQL&gt;&lt;FQL&gt;&lt;Q&gt;CME^FF_EPS(QTR_R,0)&lt;/Q&gt;&lt;R&gt;1&lt;/R&gt;&lt;C&gt;1&lt;/C&gt;&lt;D xsi:type="xsd:double"&gt;3.2424&lt;/D&gt;&lt;/FQL&gt;&lt;FQL&gt;&lt;Q&gt;CHTR^JULIAN(FF_EPS(QTR_R,0).DATES)&lt;/Q&gt;&lt;R&gt;1&lt;/R&gt;&lt;C&gt;1&lt;/C&gt;&lt;D xsi:type="xsd:long"&gt;46022&lt;/D&gt;&lt;/FQL&gt;&lt;FQL&gt;&lt;Q&gt;BSX^JULIAN(FF_EPS(QTR_R,0).DATES)&lt;/Q&gt;&lt;R&gt;1&lt;/R&gt;&lt;C&gt;1&lt;/C&gt;&lt;D xsi:type="xsd:long"&gt;46022&lt;/D&gt;&lt;/FQL&gt;&lt;FQL&gt;&lt;Q&gt;BKR^FF_EPS(QTR_R,0)&lt;/Q&gt;&lt;R&gt;1&lt;/R&gt;&lt;C&gt;1&lt;/C&gt;&lt;D xsi:type="xsd:double"&gt;0.8813&lt;/D&gt;&lt;/FQL&gt;&lt;FQL&gt;&lt;Q&gt;APTV^FF_EPS(QTR_R,0)&lt;/Q&gt;&lt;R&gt;1&lt;/R&gt;&lt;C&gt;1&lt;/C&gt;&lt;D xsi:type="xsd:double"&gt;0.6385&lt;/D&gt;&lt;/FQL&gt;&lt;FQL&gt;&lt;Q&gt;AMZN^FE_ESTIMATE(EPS,MEAN,QTR_ROLL,-0,0,,,'')&lt;/Q&gt;&lt;R&gt;1&lt;/R&gt;&lt;C&gt;1&lt;/C&gt;&lt;D xsi:type="xsd:double"&gt;1.95&lt;/D&gt;&lt;/FQL&gt;&lt;FQL&gt;&lt;Q&gt;AMAT^JULIAN(FF_EPS(QTR_R,0).DATES)&lt;/Q&gt;&lt;R&gt;1&lt;/R&gt;&lt;C&gt;1&lt;/C&gt;&lt;D xsi:type="xsd:long"&gt;46052&lt;/D&gt;&lt;/FQL&gt;&lt;FQL&gt;&lt;Q&gt;ADM^JULIAN(FF_EPS(QTR_R,0).DATES)&lt;/Q&gt;&lt;R&gt;1&lt;/R&gt;&lt;C&gt;1&lt;/C&gt;&lt;D xsi:type="xsd:long"&gt;46022&lt;/D&gt;&lt;/FQL&gt;&lt;FQL&gt;&lt;Q&gt;AAPL^FF_EPS(QTR_R,0)&lt;/Q&gt;&lt;R&gt;1&lt;/R&gt;&lt;C&gt;1&lt;/C&gt;&lt;D xsi:type="xsd:double"&gt;2.8424&lt;/D&gt;&lt;/FQL&gt;&lt;FQL&gt;&lt;Q&gt;TGT^FG_COMPANY_NAME&lt;/Q&gt;&lt;R&gt;1&lt;/R&gt;&lt;C&gt;1&lt;/C&gt;&lt;D xsi:type="xsd:string"&gt;Target Corporation&lt;/D&gt;&lt;/FQL&gt;&lt;FQL&gt;&lt;Q&gt;SO^FG_COMPANY_NAME&lt;/Q&gt;&lt;R&gt;1&lt;/R&gt;&lt;C&gt;1&lt;/C&gt;&lt;D xsi:type="xsd:string"&gt;Southern Company&lt;/D&gt;&lt;/FQL&gt;&lt;FQL&gt;&lt;Q&gt;RJF^FG_COMPANY_NAME&lt;/Q&gt;&lt;R&gt;1&lt;/R&gt;&lt;C&gt;1&lt;/C&gt;&lt;D xsi:type="xsd:string"&gt;Raymond James Financial, Inc.&lt;/D&gt;&lt;/FQL&gt;&lt;FQL&gt;&lt;Q&gt;ORLY^FG_COMPANY_NAME&lt;/Q&gt;&lt;R&gt;1&lt;/R&gt;&lt;C&gt;1&lt;/C&gt;&lt;D xsi:type="xsd:string"&gt;O'Reilly Automotive, Inc.&lt;/D&gt;&lt;/FQL&gt;&lt;FQL&gt;&lt;Q&gt;MRK^FG_COMPANY_NAME&lt;/Q&gt;&lt;R&gt;1&lt;/R&gt;&lt;C&gt;1&lt;/C&gt;&lt;D xsi:type="xsd:string"&gt;Merck &amp;amp; Co., Inc.&lt;/D&gt;&lt;/FQL&gt;&lt;FQL&gt;&lt;Q&gt;MDLZ^FG_COMPANY_NAME&lt;/Q&gt;&lt;R&gt;1&lt;/R&gt;&lt;C&gt;1&lt;/C&gt;&lt;D xsi:type="xsd:string"&gt;Mondelez International, Inc. Class A&lt;/D&gt;&lt;/FQL&gt;&lt;FQL&gt;&lt;Q&gt;LNT^FG_COMPANY_NAME&lt;/Q&gt;&lt;R&gt;1&lt;/R&gt;&lt;C&gt;1&lt;/C&gt;&lt;D xsi:type="xsd:string"&gt;Alliant Energy Corporation&lt;/D&gt;&lt;/FQL&gt;&lt;FQL&gt;&lt;Q&gt;HSY^FG_COMPANY_NAME&lt;/Q&gt;&lt;R&gt;1&lt;/R&gt;&lt;C&gt;1&lt;/C&gt;&lt;D xsi:type="xsd:string"&gt;Hershey Company&lt;/D&gt;&lt;/FQL&gt;&lt;FQL&gt;&lt;Q&gt;FOXA^FG_COMPANY_NAME&lt;/Q&gt;&lt;R&gt;1&lt;/R&gt;&lt;C&gt;1&lt;/C&gt;&lt;D xsi:type="xsd:string"&gt;Fox Corporation Class A&lt;/D&gt;&lt;/FQL&gt;&lt;FQL&gt;&lt;Q&gt;DIS^FG_COMPANY_NAME&lt;/Q&gt;&lt;R&gt;1&lt;/R&gt;&lt;C&gt;1&lt;/C&gt;&lt;D xsi:type="xsd:string"&gt;Walt Disney Company&lt;/D&gt;&lt;/FQL&gt;&lt;FQL&gt;&lt;Q&gt;CNC^FG_COMPANY_NAME&lt;/Q&gt;&lt;R&gt;1&lt;/R&gt;&lt;C&gt;1&lt;/C&gt;&lt;D xsi:type="xsd:string"&gt;Centene Corporation&lt;/D&gt;&lt;/FQL&gt;&lt;FQL&gt;&lt;Q&gt;BWA^FG_COMPANY_NAME&lt;/Q&gt;&lt;R&gt;1&lt;/R&gt;&lt;C&gt;1&lt;/C&gt;&lt;D xsi:type="xsd:string"&gt;BorgWarner Inc.&lt;/D&gt;&lt;/FQL&gt;&lt;FQL&gt;&lt;Q&gt;ADI^JULIAN(FF_EPS(QTR_R,0).DATES)&lt;/Q&gt;&lt;R&gt;1&lt;/R&gt;&lt;C&gt;1&lt;/C&gt;&lt;D xsi:type="xsd:long"&gt;46052&lt;/D&gt;&lt;/FQL&gt;&lt;FQL&gt;&lt;Q&gt;AAPL^JULIAN(FF_EPS(QTR_R,0).DATES)&lt;/Q&gt;&lt;R&gt;1&lt;/R&gt;&lt;C&gt;1&lt;/C&gt;&lt;D xsi:type="xsd:long"&gt;46022&lt;/D&gt;&lt;/FQL&gt;&lt;FQL&gt;&lt;Q&gt;UDR^FG_COMPANY_NAME&lt;/Q&gt;&lt;R&gt;1&lt;/R&gt;&lt;C&gt;1&lt;/C&gt;&lt;D xsi:type="xsd:string"&gt;UDR, Inc.&lt;/D&gt;&lt;/FQL&gt;&lt;FQL&gt;&lt;Q&gt;ON^FG_COMPANY_NAME&lt;/Q&gt;&lt;R&gt;1&lt;/R&gt;&lt;C&gt;1&lt;/C&gt;&lt;D xsi:type="xsd:string"&gt;ON Semiconductor Corporation&lt;/D&gt;&lt;/FQL&gt;&lt;FQL&gt;&lt;Q&gt;MPWR^FG_COMPANY_NAME&lt;/Q&gt;&lt;R&gt;1&lt;/R&gt;&lt;C&gt;1&lt;/C&gt;&lt;D xsi:type="xsd:string"&gt;Monolithic Power Systems, Inc.&lt;/D&gt;&lt;/FQL&gt;&lt;FQL&gt;&lt;Q&gt;FMC^FG_COMPANY_NAME&lt;/Q&gt;&lt;R&gt;1&lt;/R&gt;&lt;C&gt;1&lt;/C&gt;&lt;D xsi:type="xsd:string"&gt;FMC Corporation&lt;/D&gt;&lt;/FQL&gt;&lt;FQL&gt;&lt;Q&gt;DGX^FG_COMPANY_NAME&lt;/Q&gt;&lt;R&gt;1&lt;/R&gt;&lt;C&gt;1&lt;/C&gt;&lt;D xsi:type="xsd:string"&gt;Quest Diagnostics Incorporated&lt;/D&gt;&lt;/FQL&gt;&lt;FQL&gt;&lt;Q&gt;BRK.B^FG_COMPANY_NAME&lt;/Q&gt;&lt;R&gt;1&lt;/R&gt;&lt;C&gt;1&lt;/C&gt;&lt;D xsi:type="xsd:string"&gt;Berkshire Hathaway Inc. Class B&lt;/D&gt;&lt;/FQL&gt;&lt;FQL&gt;&lt;Q&gt;SYF^FF_EPS(QTR_R,0)&lt;/Q&gt;&lt;R&gt;1&lt;/R&gt;&lt;C&gt;1&lt;/C&gt;&lt;D xsi:type="xsd:double"&gt;2.0414&lt;/D&gt;&lt;/FQL&gt;&lt;FQL&gt;&lt;Q&gt;NEE^JULIAN(FF_EPS(QTR_R,0).DATES)&lt;/Q&gt;&lt;R&gt;1&lt;/R&gt;&lt;C&gt;1&lt;/C&gt;&lt;D xsi:type="xsd:long"&gt;46022&lt;/D&gt;&lt;/FQL&gt;&lt;FQL&gt;&lt;Q&gt;MAA^JULIAN(FF_EPS(QTR_R,0).DATES)&lt;/Q&gt;&lt;R&gt;1&lt;/R&gt;&lt;C&gt;1&lt;/C&gt;&lt;D xsi:type="xsd:long"&gt;46022&lt;/D&gt;&lt;/FQL&gt;&lt;FQL&gt;&lt;Q&gt;FE^FF_EPS(QTR_R,0)&lt;/Q&gt;&lt;R&gt;1&lt;/R&gt;&lt;C&gt;1&lt;/C&gt;&lt;D xsi:type="xsd:double"&gt;-0.0848&lt;/D&gt;&lt;/FQL&gt;&lt;FQL&gt;&lt;Q&gt;EW^FE_ESTIMATE(EPS,MEAN,QTR_ROLL,-0,0,,,'')&lt;/Q&gt;&lt;R&gt;1&lt;/R&gt;&lt;C&gt;1&lt;/C&gt;&lt;D xsi:type="xsd:double"&gt;0.58&lt;/D&gt;&lt;/FQL&gt;&lt;FQL&gt;&lt;Q&gt;EA^FF_EPS(QTR_R,0)&lt;/Q&gt;&lt;R&gt;1&lt;/R&gt;&lt;C&gt;1&lt;/C&gt;&lt;D xsi:type="xsd:double"&gt;0.3478&lt;/D&gt;&lt;/FQL&gt;&lt;FQL&gt;&lt;Q&gt;DD^FE_ESTIMATE(EPS,MEAN,QTR_ROLL,-0,0,,,'')&lt;/Q&gt;&lt;R&gt;1&lt;/R&gt;&lt;C&gt;1&lt;/C&gt;&lt;D xsi:type="xsd:double"&gt;0.46&lt;/D&gt;&lt;/FQL&gt;&lt;FQL&gt;&lt;Q&gt;CRM^JULIAN(FF_EPS(QTR_R,0).DATES)&lt;/Q&gt;&lt;R&gt;1&lt;/R&gt;&lt;C&gt;1&lt;/C&gt;&lt;D xsi:type="xsd:long"&gt;46052&lt;/D&gt;&lt;/FQL&gt;&lt;FQL&gt;&lt;Q&gt;CMCSA^FF_EPS(QTR_R,0)&lt;/Q&gt;&lt;R&gt;1&lt;/R&gt;&lt;C&gt;1&lt;/C&gt;&lt;D xsi:type="xsd:double"&gt;0.5963&lt;/D&gt;&lt;/FQL&gt;&lt;FQL&gt;&lt;Q&gt;BK^JULIAN(FF_EPS(QTR_R,0).DATES)&lt;/Q&gt;&lt;R&gt;1&lt;/R&gt;&lt;C&gt;1&lt;/C&gt;&lt;D xsi:type="xsd:long"&gt;46022&lt;/D&gt;&lt;/FQL&gt;&lt;FQL&gt;&lt;Q&gt;ALL^FE_ESTIMATE(EPS,MEAN,QTR_ROLL,-0,0,,,'')&lt;/Q&gt;&lt;R&gt;1&lt;/R&gt;&lt;C&gt;1&lt;/C&gt;&lt;D xsi:type="xsd:double"&gt;14.31&lt;/D&gt;&lt;/FQL&gt;&lt;FQL&gt;&lt;Q&gt;WBA^FG_COMPANY_NAME&lt;/Q&gt;&lt;R&gt;1&lt;/R&gt;&lt;C&gt;1&lt;/C&gt;&lt;D xsi:type="xsd:string"&gt;Walgreens Boots Alliance, Inc.&lt;/D&gt;&lt;/FQL&gt;&lt;FQL&gt;&lt;Q&gt;UBER^FG_COMPANY_NAME&lt;/Q&gt;&lt;R&gt;1&lt;/R&gt;&lt;C&gt;1&lt;/C&gt;&lt;D xsi:type="xsd:string"&gt;Uber Technologies, Inc.&lt;/D&gt;&lt;/FQL&gt;&lt;FQL&gt;&lt;Q&gt;PKG^FG_COMPANY_NAME&lt;/Q&gt;&lt;R&gt;1&lt;/R&gt;&lt;C&gt;1&lt;/C&gt;&lt;D xsi:type="xsd:string"&gt;Packaging Corporation of America&lt;/D&gt;&lt;/FQL&gt;&lt;FQL&gt;&lt;Q&gt;LKQ^FG_COMPANY_NAME&lt;/Q&gt;&lt;R&gt;1&lt;/R&gt;&lt;C&gt;1&lt;/C&gt;&lt;D xsi:type="xsd:string"&gt;LKQ Corporation&lt;/D&gt;&lt;/FQL&gt;&lt;FQL&gt;&lt;Q&gt;ECL^FG_COMPANY_NAME&lt;/Q&gt;&lt;R&gt;1&lt;/R&gt;&lt;C&gt;1&lt;/C&gt;&lt;D xsi:type="xsd:string"&gt;Ecolab Inc.&lt;/D&gt;&lt;/FQL&gt;&lt;FQL&gt;&lt;Q&gt;CCL^FG_COMPANY_NAME&lt;/Q&gt;&lt;R&gt;1&lt;/R&gt;&lt;C&gt;1&lt;/C&gt;&lt;D xsi:type="xsd:string"&gt;Carnival Corporation&lt;/D&gt;&lt;/FQL&gt;&lt;FQL&gt;&lt;Q&gt;ABBV^FG_COMPANY_NAME&lt;/Q&gt;&lt;R&gt;1&lt;/R&gt;&lt;C&gt;1&lt;/C&gt;&lt;D xsi:type="xsd:string"&gt;AbbVie, Inc.&lt;/D&gt;&lt;/FQL&gt;&lt;FQL&gt;&lt;Q&gt;JNJ^FG_COMPANY_NAME&lt;/Q&gt;&lt;R&gt;1&lt;/R&gt;&lt;C&gt;1&lt;/C&gt;&lt;D xsi:type="xsd:string"&gt;Johnson &amp;amp; Johnson&lt;/D&gt;&lt;/FQL&gt;&lt;FQL&gt;&lt;Q&gt;XYL^FG_COMPANY_NAME&lt;/Q&gt;&lt;R&gt;1&lt;/R&gt;&lt;C&gt;1&lt;/C&gt;&lt;D xsi:type="xsd:string"&gt;Xylem Inc.&lt;/D&gt;&lt;/FQL&gt;&lt;FQL&gt;&lt;Q&gt;EQT^FG_COMPANY_NAME&lt;/Q&gt;&lt;R&gt;1&lt;/R&gt;&lt;C&gt;1&lt;/C&gt;&lt;D xsi:type="xsd:string"&gt;EQT Corporation&lt;/D&gt;&lt;/FQL&gt;&lt;FQL&gt;&lt;Q&gt;CLX^FG_COMPANY_NAME&lt;/Q&gt;&lt;R&gt;1&lt;/R&gt;&lt;C&gt;1&lt;/C&gt;&lt;D xsi:type="xsd:string"&gt;Clorox Company&lt;/D&gt;&lt;/FQL&gt;&lt;FQL&gt;&lt;Q&gt;LVS^JULIAN(FF_EPS(QTR_R,0).DATES)&lt;/Q&gt;&lt;R&gt;1&lt;/R&gt;&lt;C&gt;1&lt;/C&gt;&lt;D xsi:type="xsd:long"&gt;46022&lt;/D&gt;&lt;/FQL&gt;&lt;FQL&gt;&lt;Q&gt;CPB^FF_EPS(QTR_R,0)&lt;/Q&gt;&lt;R&gt;1&lt;/R&gt;&lt;C&gt;1&lt;/C&gt;&lt;D xsi:type="xsd:double"&gt;0.485&lt;/D&gt;&lt;/FQL&gt;&lt;FQL&gt;&lt;Q&gt;CBOE^FF_EPS(QTR_R,0)&lt;/Q&gt;&lt;R&gt;1&lt;/R&gt;&lt;C&gt;1&lt;/C&gt;&lt;D xsi:type="xsd:double"&gt;2.9733&lt;/D&gt;&lt;/FQL&gt;&lt;FQL&gt;&lt;Q&gt;SYF^FG_COMPANY_NAME&lt;/Q&gt;&lt;R&gt;1&lt;/R&gt;&lt;C&gt;1&lt;/C&gt;&lt;D xsi:type="xsd:string"&gt;Synchrony Financial&lt;/D&gt;&lt;/FQL&gt;&lt;FQL&gt;&lt;Q&gt;NVDA^FG_COMPANY_NAME&lt;/Q&gt;&lt;R&gt;1&lt;/R&gt;&lt;C&gt;1&lt;/C&gt;&lt;D xsi:type="xsd:string"&gt;NVIDIA Corporation&lt;/D&gt;&lt;/FQL&gt;&lt;FQL&gt;&lt;Q&gt;JBL^FG_COMPANY_NAME&lt;/Q&gt;&lt;R&gt;1&lt;/R&gt;&lt;C&gt;1&lt;/C&gt;&lt;D xsi:type="xsd:string"&gt;Jabil Inc.&lt;/D&gt;&lt;/FQL&gt;&lt;FQL&gt;&lt;Q&gt;CZR^FG_COMPANY_NAME&lt;/Q&gt;&lt;R&gt;1&lt;/R&gt;&lt;C&gt;1&lt;/C&gt;&lt;D xsi:type="xsd:string"&gt;Caesars Entertainment, Inc.&lt;/D&gt;&lt;/FQL&gt;&lt;FQL&gt;&lt;Q&gt;VRSN^FF_EPS(QTR_R,0)&lt;/Q&gt;&lt;R&gt;1&lt;/R&gt;&lt;C&gt;1&lt;/C&gt;&lt;D xsi:type="xsd:double"&gt;2.2268&lt;/D&gt;&lt;/FQL&gt;&lt;FQL&gt;&lt;Q&gt;F^JULIAN(FF_EPS(QTR_R,0).DATES)&lt;/Q&gt;&lt;R&gt;1&lt;/R&gt;&lt;C&gt;1&lt;/C&gt;&lt;D xsi:type="xsd:long"&gt;46022&lt;/D&gt;&lt;/FQL&gt;&lt;FQL&gt;&lt;Q&gt;BA^FE_ESTIMATE(EPS,MEAN,QTR_ROLL,-0,0,,,'')&lt;/Q&gt;&lt;R&gt;1&lt;/R&gt;&lt;C&gt;1&lt;/C&gt;&lt;D xsi:type="xsd:double"&gt;9.92&lt;/D&gt;&lt;/FQL&gt;&lt;FQL&gt;&lt;Q&gt;VRSK^FF_EPS(QTR_R,0)&lt;/Q&gt;&lt;R&gt;1&lt;/R&gt;&lt;C&gt;1&lt;/C&gt;&lt;D xsi:type="xsd:double"&gt;1.4176&lt;/D&gt;&lt;/FQL&gt;&lt;FQL&gt;&lt;Q&gt;MCO^FF_EPS(QTR_R,0)&lt;/Q&gt;&lt;R&gt;1&lt;/R&gt;&lt;C&gt;1&lt;/C&gt;&lt;D xsi:type="xsd:double"&gt;3.4135&lt;/D&gt;&lt;/FQL&gt;&lt;FQL&gt;&lt;Q&gt;HUBB^JULIAN(FF_EPS(QTR_R,0).DATES)&lt;/Q&gt;&lt;R&gt;1&lt;/R&gt;&lt;C&gt;1&lt;/C&gt;&lt;D xsi:type="xsd:long"&gt;46022&lt;/D&gt;&lt;/FQL&gt;&lt;FQL&gt;&lt;Q&gt;CMI^JULIAN(FF_EPS(QTR_R,0).DATES)&lt;/Q&gt;&lt;R&gt;1&lt;/R&gt;&lt;C&gt;1&lt;/C&gt;&lt;D xsi:type="xsd:long"&gt;46022&lt;/D&gt;&lt;/FQL&gt;&lt;FQL&gt;&lt;Q&gt;TRGP^FG_COMPANY_NAME&lt;/Q&gt;&lt;R&gt;1&lt;/R&gt;&lt;C&gt;1&lt;/C&gt;&lt;D xsi:type="xsd:string"&gt;Targa Resources Corp.&lt;/D&gt;&lt;/FQL&gt;&lt;FQL&gt;&lt;Q&gt;PEAK^FG_COMPANY_NAME&lt;/Q&gt;&lt;R&gt;1&lt;/R&gt;&lt;C&gt;1&lt;/C&gt;&lt;D xsi:type="xsd:string"&gt;Healthpeak Properties, Inc.&lt;/D&gt;&lt;/FQL&gt;&lt;FQL&gt;&lt;Q&gt;MKTX^FG_COMPANY_NAME&lt;/Q&gt;&lt;R&gt;1&lt;/R&gt;&lt;C&gt;1&lt;/C&gt;&lt;D xsi:type="xsd:string"&gt;MarketAxess Holdings Inc.&lt;/D&gt;&lt;/FQL&gt;&lt;FQL&gt;&lt;Q&gt;PFE^FF_EPS(QTR_R,0)&lt;/Q&gt;&lt;R&gt;1&lt;/R&gt;&lt;C&gt;1&lt;/C&gt;&lt;D xsi:type="xsd:double"&gt;-0.2898&lt;/D&gt;&lt;/FQL&gt;&lt;FQL&gt;&lt;Q&gt;EXR^FF_EPS(QTR_R,0)&lt;/Q&gt;&lt;R&gt;1&lt;/R&gt;&lt;C&gt;1&lt;/C&gt;&lt;D xsi:type="xsd:double"&gt;1.2981&lt;/D&gt;&lt;/FQL&gt;&lt;FQL&gt;&lt;Q&gt;DFS^FE_ESTIMATE(EPS,MEAN,QTR_ROLL,-0,0,,,'')&lt;/Q&gt;&lt;R&gt;0&lt;/R&gt;&lt;C&gt;0&lt;/C&gt;&lt;/FQL&gt;&lt;FQL&gt;&lt;Q&gt;CMG^FF_EPS(QTR_R,0)&lt;/Q&gt;&lt;R&gt;1&lt;/R&gt;&lt;C&gt;1&lt;/C&gt;&lt;D xsi:type="xsd:double"&gt;0.2507&lt;/D&gt;&lt;/FQL&gt;&lt;FQL&gt;&lt;Q&gt;BWA^FF_EPS(QTR_R,0)&lt;/Q&gt;&lt;R&gt;1&lt;/R&gt;&lt;C&gt;1&lt;/C&gt;&lt;D xsi:type="xsd:double"&gt;-1.2654&lt;/D&gt;&lt;/FQL&gt;&lt;FQL&gt;&lt;Q&gt;ARE^FF_EPS(QTR_R,0)&lt;/Q&gt;&lt;R&gt;1&lt;/R&gt;&lt;C&gt;1&lt;/C&gt;&lt;D xsi:type="xsd:double"&gt;-6.349&lt;/D&gt;&lt;/FQL&gt;&lt;FQL&gt;&lt;Q&gt;ADP^FE_ESTIMATE(EPS,MEAN,QTR_ROLL,-0,0,,,'')&lt;/Q&gt;&lt;R&gt;1&lt;/R&gt;&lt;C&gt;1&lt;/C&gt;&lt;D xsi:type="xsd:double"&gt;2.62&lt;/D&gt;&lt;/FQL&gt;&lt;FQL&gt;&lt;Q&gt;PCAR^FG_COMPANY_NAME&lt;/Q&gt;&lt;R&gt;1&lt;/R&gt;&lt;C&gt;1&lt;/C&gt;&lt;D xsi:type="xsd:string"&gt;PACCAR Inc&lt;/D&gt;&lt;/FQL&gt;&lt;FQL&gt;&lt;Q&gt;META^FG_COMPANY_NAME&lt;/Q&gt;&lt;R&gt;1&lt;/R&gt;&lt;C&gt;1&lt;/C&gt;&lt;D xsi:type="xsd:string"&gt;Meta Platforms Inc Class A&lt;/D&gt;&lt;/FQL&gt;&lt;FQL&gt;&lt;Q&gt;C^FG_COMPANY_NAME&lt;/Q&gt;&lt;R&gt;1&lt;/R&gt;&lt;C&gt;1&lt;/C&gt;&lt;D xsi:type="xsd:string"&gt;Citigroup Inc.&lt;/D&gt;&lt;/FQL&gt;&lt;FQL&gt;&lt;Q&gt;VMC^JULIAN(FF_EPS(QTR_R,0).DATES)&lt;/Q&gt;&lt;R&gt;1&lt;/R&gt;&lt;C&gt;1&lt;/C&gt;&lt;D xsi:type="xsd:long"&gt;46022&lt;/D&gt;&lt;/FQL&gt;&lt;FQL&gt;&lt;Q&gt;PFE^JULIAN(FF_EPS(QTR_R,0).DATES)&lt;/Q&gt;&lt;R&gt;1&lt;/R&gt;&lt;C&gt;1&lt;/C&gt;&lt;D xsi:type="xsd:long"&gt;46022&lt;/D&gt;&lt;/FQL&gt;&lt;FQL&gt;&lt;Q&gt;LUV^FF_EPS(QTR_R,0)&lt;/Q&gt;&lt;R&gt;1&lt;/R&gt;&lt;C&gt;1&lt;/C&gt;&lt;D xsi:type="xsd:double"&gt;0.6219&lt;/D&gt;&lt;/FQL&gt;&lt;FQL&gt;&lt;Q&gt;CINF^FE_ESTIMATE(EPS,MEAN,QTR_ROLL,-0,0,,,'')&lt;/Q&gt;&lt;R&gt;1&lt;/R&gt;&lt;C&gt;1&lt;/C&gt;&lt;D xsi:type="xsd:double"&gt;3.37&lt;/D&gt;&lt;/FQL&gt;&lt;FQL&gt;&lt;Q&gt;BLDR^FE_ESTIMATE(EPS,MEAN,QTR_ROLL,-0,0,,,'')&lt;/Q&gt;&lt;R&gt;1&lt;/R&gt;&lt;C&gt;1&lt;/C&gt;&lt;D xsi:type="xsd:double"&gt;1.12&lt;/D&gt;&lt;/FQL&gt;&lt;FQL&gt;&lt;Q&gt;OXY^FG_COMPANY_NAME&lt;/Q&gt;&lt;R&gt;1&lt;/R&gt;&lt;C&gt;1&lt;/C&gt;&lt;D xsi:type="xsd:string"&gt;Occidental Petroleum Corporation&lt;/D&gt;&lt;/FQL&gt;&lt;FQL&gt;&lt;Q&gt;MET^FG_COMPANY_NAME&lt;/Q&gt;&lt;R&gt;1&lt;/R&gt;&lt;C&gt;1&lt;/C&gt;&lt;D xsi:type="xsd:string"&gt;MetLife, Inc.&lt;/D&gt;&lt;/FQL&gt;&lt;FQL&gt;&lt;Q&gt;IRM^FG_COMPANY_NAME&lt;/Q&gt;&lt;R&gt;1&lt;/R&gt;&lt;C&gt;1&lt;/C&gt;&lt;D xsi:type="xsd:string"&gt;Iron Mountain, Inc.&lt;/D&gt;&lt;/FQL&gt;&lt;FQL&gt;&lt;Q&gt;CVS^FG_COMPANY_NAME&lt;/Q&gt;&lt;R&gt;1&lt;/R&gt;&lt;C&gt;1&lt;/C&gt;&lt;D xsi:type="xsd:string"&gt;CVS Health Corporation&lt;/D&gt;&lt;/FQL&gt;&lt;FQL&gt;&lt;Q&gt;BXP^FG_COMPANY_NAME&lt;/Q&gt;&lt;R&gt;1&lt;/R&gt;&lt;C&gt;1&lt;/C&gt;&lt;D xsi:type="xsd:string"&gt;BXP Inc&lt;/D&gt;&lt;/FQL&gt;&lt;FQL&gt;&lt;Q&gt;ALL^FG_COMPANY_NAME&lt;/Q&gt;&lt;R&gt;1&lt;/R&gt;&lt;C&gt;1&lt;/C&gt;&lt;D xsi:type="xsd:string"&gt;Allstate Corporation&lt;/D&gt;&lt;/FQL&gt;&lt;FQL&gt;&lt;Q&gt;VLTO^FE_ESTIMATE(EPS,MEAN,QTR_ROLL,-0,0,,,'')&lt;/Q&gt;&lt;R&gt;1&lt;/R&gt;&lt;C&gt;1&lt;/C&gt;&lt;D xsi:type="xsd:double"&gt;1.04&lt;/D&gt;&lt;/FQL&gt;&lt;FQL&gt;&lt;Q&gt;LMT^FF_EPS(QTR_R,0)&lt;/Q&gt;&lt;R&gt;1&lt;/R&gt;&lt;C&gt;1&lt;/C&gt;&lt;D xsi:type="xsd:double"&gt;5.7956&lt;/D&gt;&lt;/FQL&gt;&lt;FQL&gt;&lt;Q&gt;CVX^FE_ESTIMATE(EPS,MEAN,QTR_ROLL,-0,0,,,'')&lt;/Q&gt;&lt;R&gt;1&lt;/R&gt;&lt;C&gt;1&lt;/C&gt;&lt;D xsi:type="xsd:double"&gt;1.52&lt;/D&gt;&lt;/FQL&gt;&lt;FQL&gt;&lt;Q&gt;CINF^FF_EPS(QTR_R,0)&lt;/Q&gt;&lt;R&gt;1&lt;/R&gt;&lt;C&gt;1&lt;/C&gt;&lt;D xsi:type="xsd:double"&gt;4.2921&lt;/D&gt;&lt;/FQL&gt;&lt;FQL&gt;&lt;Q&gt;SWKS^FG_COMPANY_NAME&lt;/Q&gt;&lt;R&gt;1&lt;/R&gt;&lt;C&gt;1&lt;/C&gt;&lt;D xsi:type="xsd:string"&gt;Skyworks Solutions, Inc.&lt;/D&gt;&lt;/FQL&gt;&lt;FQL&gt;&lt;Q&gt;MDT^FG_COMPANY_NAME&lt;/Q&gt;&lt;R&gt;1&lt;/R&gt;&lt;C&gt;1&lt;/C&gt;&lt;D xsi:type="xsd:string"&gt;Medtronic Plc&lt;/D&gt;&lt;/FQL&gt;&lt;FQL&gt;&lt;Q&gt;IDXX^FG_COMPANY_NAME&lt;/Q&gt;&lt;R&gt;1&lt;/R&gt;&lt;C&gt;1&lt;/C&gt;&lt;D xsi:type="xsd:string"&gt;IDEXX Laboratories, Inc.&lt;/D&gt;&lt;/FQL&gt;&lt;FQL&gt;&lt;Q&gt;CTVA^FG_COMPANY_NAME&lt;/Q&gt;&lt;R&gt;1&lt;/R&gt;&lt;C&gt;1&lt;/C&gt;&lt;D xsi:type="xsd:string"&gt;Corteva Inc&lt;/D&gt;&lt;/FQL&gt;&lt;FQL&gt;&lt;Q&gt;BX^FG_COMPANY_NAME&lt;/Q&gt;&lt;R&gt;1&lt;/R&gt;&lt;C&gt;1&lt;/C&gt;&lt;D xsi:type="xsd:string"&gt;Blackstone Inc.&lt;/D&gt;&lt;/FQL&gt;&lt;FQL&gt;&lt;Q&gt;NUE^FG_COMPANY_NAME&lt;/Q&gt;&lt;R&gt;1&lt;/R&gt;&lt;C&gt;1&lt;/C&gt;&lt;D xsi:type="xsd:string"&gt;Nucor Corporation&lt;/D&gt;&lt;/FQL&gt;&lt;FQL&gt;&lt;Q&gt;ADP^FG_COMPANY_NAME&lt;/Q&gt;&lt;R&gt;1&lt;/R&gt;&lt;C&gt;1&lt;/C&gt;&lt;D xsi:type="xsd:string"&gt;Automatic Data Processing, Inc.&lt;/D&gt;&lt;/FQL&gt;&lt;FQL&gt;&lt;Q&gt;WST^FG_COMPANY_NAME&lt;/Q&gt;&lt;R&gt;1&lt;/R&gt;&lt;C&gt;1&lt;/C&gt;&lt;D xsi:type="xsd:string"&gt;West Pharmaceutical Services, Inc.&lt;/D&gt;&lt;/FQL&gt;&lt;FQL&gt;&lt;Q&gt;WMT^FG_COMPANY_NAME&lt;/Q&gt;&lt;R&gt;1&lt;/R&gt;&lt;C&gt;1&lt;/C&gt;&lt;D xsi:type="xsd:string"&gt;Walmart Inc.&lt;/D&gt;&lt;/FQL&gt;&lt;FQL&gt;&lt;Q&gt;HAL^FG_COMPANY_NAME&lt;/Q&gt;&lt;R&gt;1&lt;/R&gt;&lt;C&gt;1&lt;/C&gt;&lt;D xsi:type="xsd:string"&gt;Halliburton Company&lt;/D&gt;&lt;/FQL&gt;&lt;FQL&gt;&lt;Q&gt;CB^FE_ESTIMATE(EPS,MEAN,QTR_ROLL,-0,0,,,'')&lt;/Q&gt;&lt;R&gt;1&lt;/R&gt;&lt;C&gt;1&lt;/C&gt;&lt;D xsi:type="xsd:double"&gt;7.52&lt;/D&gt;&lt;/FQL&gt;&lt;FQL&gt;&lt;Q&gt;MTB^FG_COMPANY_NAME&lt;/Q&gt;&lt;R&gt;1&lt;/R&gt;&lt;C&gt;1&lt;/C&gt;&lt;D xsi:type="xsd:string"&gt;M&amp;amp;T Bank Corporation&lt;/D&gt;&lt;/FQL&gt;&lt;FQL&gt;&lt;Q&gt;FI^JULIAN(FF_EPS(QTR_R,0).DATES)&lt;/Q&gt;&lt;R&gt;1&lt;/R&gt;&lt;C&gt;1&lt;/C&gt;&lt;D xsi:type="xsd:long"&gt;46022&lt;/D&gt;&lt;/FQL&gt;&lt;FQL&gt;&lt;Q&gt;ICE^FG_COMPANY_NAME&lt;/Q&gt;&lt;R&gt;1&lt;/R&gt;&lt;C&gt;1&lt;/C&gt;&lt;D xsi:type="xsd:string"&gt;Intercontinental Exchange, Inc.&lt;/D&gt;&lt;/FQL&gt;&lt;FQL&gt;&lt;Q&gt;COST^FG_COMPANY_NAME&lt;/Q&gt;&lt;R&gt;1&lt;/R&gt;&lt;C&gt;1&lt;/C&gt;&lt;D xsi:type="xsd:string"&gt;Costco Wholesale Corporation&lt;/D&gt;&lt;/FQL&gt;&lt;FQL&gt;&lt;Q&gt;NUE^FF_EPS(QTR_R,0)&lt;/Q&gt;&lt;R&gt;1&lt;/R&gt;&lt;C&gt;1&lt;/C&gt;&lt;D xsi:type="xsd:double"&gt;1.6376&lt;/D&gt;&lt;/FQL&gt;&lt;FQL&gt;&lt;Q&gt;CSCO^FF_EPS(QTR_R,0)&lt;/Q&gt;&lt;R&gt;1&lt;/R&gt;&lt;C&gt;1&lt;/C&gt;&lt;D xsi:type="xsd:double"&gt;0.7969&lt;/D&gt;&lt;/FQL&gt;&lt;FQL&gt;&lt;Q&gt;ROST^FG_COMPANY_NAME&lt;/Q&gt;&lt;R&gt;1&lt;/R&gt;&lt;C&gt;1&lt;/C&gt;&lt;D xsi:type="xsd:string"&gt;Ross Stores, Inc.&lt;/D&gt;&lt;/FQL&gt;&lt;FQL&gt;&lt;Q&gt;GEN^JULIAN(FF_EPS(QTR_R,0).DATES)&lt;/Q&gt;&lt;R&gt;1&lt;/R&gt;&lt;C&gt;1&lt;/C&gt;&lt;D xsi:type="xsd:long"&gt;46022&lt;/D&gt;&lt;/FQL&gt;&lt;FQL&gt;&lt;Q&gt;BF.B^JULIAN(FF_EPS(QTR_R,0).DATES)&lt;/Q&gt;&lt;R&gt;1&lt;/R&gt;&lt;C&gt;1&lt;/C&gt;&lt;D xsi:type="xsd:long"&gt;46052&lt;/D&gt;&lt;/FQL&gt;&lt;FQL&gt;&lt;Q&gt;LRCX^FG_COMPANY_NAME&lt;/Q&gt;&lt;R&gt;1&lt;/R&gt;&lt;C&gt;1&lt;/C&gt;&lt;D xsi:type="xsd:string"&gt;Lam Research Corporation&lt;/D&gt;&lt;/FQL&gt;&lt;FQL&gt;&lt;Q&gt;AMD^JULIAN(FF_EPS(QTR_R,0).DATES)&lt;/Q&gt;&lt;R&gt;1&lt;/R&gt;&lt;C&gt;1&lt;/C&gt;&lt;D xsi:type="xsd:long"&gt;46022&lt;/D&gt;&lt;/FQL&gt;&lt;FQL&gt;&lt;Q&gt;DUK^FE_ESTIMATE(EPS,MEAN,QTR_ROLL,-0,0,,,'')&lt;/Q&gt;&lt;R&gt;1&lt;/R&gt;&lt;C&gt;1&lt;/C&gt;&lt;D xsi:type="xsd:double"&gt;1.5&lt;/D&gt;&lt;/FQL&gt;&lt;FQL&gt;&lt;Q&gt;EOG^FG_COMPANY_NAME&lt;/Q&gt;&lt;R&gt;1&lt;/R&gt;&lt;C&gt;1&lt;/C&gt;&lt;D xsi:type="xsd:string"&gt;EOG Resources, Inc.&lt;/D&gt;&lt;/FQL&gt;&lt;FQL&gt;&lt;Q&gt;COST^FE_ESTIMATE(EPS,MEAN,QTR_ROLL,-0,0,,,'')&lt;/Q&gt;&lt;R&gt;1&lt;/R&gt;&lt;C&gt;1&lt;/C&gt;&lt;D xsi:type="xsd:double"&gt;4.58&lt;/D&gt;&lt;/FQL&gt;&lt;FQL&gt;&lt;Q&gt;MTCH^FG_COMPANY_NAME&lt;/Q&gt;&lt;R&gt;1&lt;/R&gt;&lt;C&gt;1&lt;/C&gt;&lt;D xsi:type="xsd:string"&gt;Match Group, Inc.&lt;/D&gt;&lt;/FQL&gt;&lt;FQL&gt;&lt;Q&gt;ENPH^FG_COMPANY_NAME&lt;/Q&gt;&lt;R&gt;1&lt;/R&gt;&lt;C&gt;1&lt;/C&gt;&lt;D xsi:type="xsd:string"&gt;Enphase Energy, Inc.&lt;/D&gt;&lt;/FQL&gt;&lt;FQL&gt;&lt;Q&gt;AIZ^FF_EPS(QTR_R,0)&lt;/Q&gt;&lt;R&gt;1&lt;/R&gt;&lt;C&gt;1&lt;/C&gt;&lt;D xsi:type="xsd:double"&gt;4.4448&lt;/D&gt;&lt;/FQL&gt;&lt;FQL&gt;&lt;Q&gt;BF.B^FE_ESTIMATE(EPS,MEAN,QTR_ROLL,-0,0,,,'')&lt;/Q&gt;&lt;R&gt;1&lt;/R&gt;&lt;C&gt;1&lt;/C&gt;&lt;D xsi:type="xsd:double"&gt;0.58&lt;/D&gt;&lt;/FQL&gt;&lt;FQL&gt;&lt;Q&gt;SMCI^FE_ESTIMATE(EPS,MEAN,QTR_ROLL,-0,0,,,'')&lt;/Q&gt;&lt;R&gt;1&lt;/R&gt;&lt;C&gt;1&lt;/C&gt;&lt;D xsi:type="xsd:double"&gt;0.69&lt;/D&gt;&lt;/FQL&gt;&lt;FQL&gt;&lt;Q&gt;AMD^FF_EPS(QTR_R,0)&lt;/Q&gt;&lt;R&gt;1&lt;/R&gt;&lt;C&gt;1&lt;/C&gt;&lt;D xsi:type="xsd:double"&gt;0.9163&lt;/D&gt;&lt;/FQL&gt;&lt;FQL&gt;&lt;Q&gt;HAS^FG_COMPANY_NAME&lt;/Q&gt;&lt;R&gt;1&lt;/R&gt;&lt;C&gt;1&lt;/C&gt;&lt;D xsi:type="xsd:string"&gt;Hasbro, Inc.&lt;/D&gt;&lt;/FQL&gt;&lt;FQL&gt;&lt;Q&gt;KR^FG_COMPANY_NAME&lt;/Q&gt;&lt;R&gt;1&lt;/R&gt;&lt;C&gt;1&lt;/C&gt;&lt;D xsi:type="xsd:string"&gt;Kroger Co.&lt;/D&gt;&lt;/FQL&gt;&lt;FQL&gt;&lt;Q&gt;BDX^FG_COMPANY_NAME&lt;/Q&gt;&lt;R&gt;1&lt;/R&gt;&lt;C&gt;1&lt;/C&gt;&lt;D xsi:type="xsd:string"&gt;Becton, Dickinson and Company&lt;/D&gt;&lt;/FQL&gt;&lt;FQL&gt;&lt;Q&gt;RMD^FG_COMPANY_NAME&lt;/Q&gt;&lt;R&gt;1&lt;/R&gt;&lt;C&gt;1&lt;/C&gt;&lt;D xsi:type="xsd:string"&gt;ResMed Inc.&lt;/D&gt;&lt;/FQL&gt;&lt;FQL&gt;&lt;Q&gt;MS^FF_EPS(QTR_R,0)&lt;/Q&gt;&lt;R&gt;1&lt;/R&gt;&lt;C&gt;1&lt;/C&gt;&lt;D xsi:type="xsd:double"&gt;2.6797&lt;/D&gt;&lt;/FQL&gt;&lt;FQL&gt;&lt;Q&gt;AZO^FE_ESTIMATE(EPS,MEAN,QTR_ROLL,-0,0,,,'')&lt;/Q&gt;&lt;R&gt;1&lt;/R&gt;&lt;C&gt;1&lt;/C&gt;&lt;D xsi:type="xsd:double"&gt;27.63&lt;/D&gt;&lt;/FQL&gt;&lt;FQL&gt;&lt;Q&gt;KO^FG_COMPANY_NAME&lt;/Q&gt;&lt;R&gt;1&lt;/R&gt;&lt;C&gt;1&lt;/C&gt;&lt;D xsi:type="xsd:string"&gt;Coca-Cola Company&lt;/D&gt;&lt;/FQL&gt;&lt;FQL&gt;&lt;Q&gt;MRO^JULIAN(FF_EPS(QTR_R,0).DATES)&lt;/Q&gt;&lt;R&gt;1&lt;/R&gt;&lt;C&gt;1&lt;/C&gt;&lt;D xsi:type="xsd:long"&gt;45565&lt;/D&gt;&lt;/FQL&gt;&lt;FQL&gt;&lt;Q&gt;FITB^JULIAN(FF_EPS(QTR_R,0).DATES)&lt;/Q&gt;&lt;R&gt;1&lt;/R&gt;&lt;C&gt;1&lt;/C&gt;&lt;D xsi:type="xsd:long"&gt;46022&lt;/D&gt;&lt;/FQL&gt;&lt;FQL&gt;&lt;Q&gt;DRI^FF_EPS(QTR_R,0)&lt;/Q&gt;&lt;R&gt;1&lt;/R&gt;&lt;C&gt;1&lt;/C&gt;&lt;D xsi:type="xsd:double"&gt;2.65&lt;/D&gt;&lt;/FQL&gt;&lt;FQL&gt;&lt;Q&gt;DRI^FG_COMPANY_NAME&lt;/Q&gt;&lt;R&gt;1&lt;/R&gt;&lt;C&gt;1&lt;/C&gt;&lt;D xsi:type="xsd:string"&gt;Darden Restaurants, Inc.&lt;/D&gt;&lt;/FQL&gt;&lt;FQL&gt;&lt;Q&gt;IRM^FF_EPS(QTR_R,0)&lt;/Q&gt;&lt;R&gt;1&lt;/R&gt;&lt;C&gt;1&lt;/C&gt;&lt;D xsi:type="xsd:double"&gt;0.2992&lt;/D&gt;&lt;/FQL&gt;&lt;FQL&gt;&lt;Q&gt;CB^FF_EPS(QTR_R,0)&lt;/Q&gt;&lt;R&gt;1&lt;/R&gt;&lt;C&gt;1&lt;/C&gt;&lt;D xsi:type="xsd:double"&gt;8.0958&lt;/D&gt;&lt;/FQL&gt;&lt;FQL&gt;&lt;Q&gt;USB^FG_COMPANY_NAME&lt;/Q&gt;&lt;R&gt;1&lt;/R&gt;&lt;C&gt;1&lt;/C&gt;&lt;D xsi:type="xsd:string"&gt;U.S. Bancorp&lt;/D&gt;&lt;/FQL&gt;&lt;FQL&gt;&lt;Q&gt;TJX^FE_ESTIMATE(EPS,MEAN,QTR_ROLL,-0,0,,,'')&lt;/Q&gt;&lt;R&gt;1&lt;/R&gt;&lt;C&gt;1&lt;/C&gt;&lt;D xsi:type="xsd:double"&gt;1.43&lt;/D&gt;&lt;/FQL&gt;&lt;FQL&gt;&lt;Q&gt;PEP^FF_EPS(QTR_R,0)&lt;/Q&gt;&lt;R&gt;1&lt;/R&gt;&lt;C&gt;1&lt;/C&gt;&lt;D xsi:type="xsd:double"&gt;1.8527&lt;/D&gt;&lt;/FQL&gt;&lt;FQL&gt;&lt;Q&gt;GPC^FE_ESTIMATE(EPS,MEAN,QTR_ROLL,-0,0,,,'')&lt;/Q&gt;&lt;R&gt;1&lt;/R&gt;&lt;C&gt;1&lt;/C&gt;&lt;D xsi:type="xsd:double"&gt;1.55&lt;/D&gt;&lt;/FQL&gt;&lt;FQL&gt;&lt;Q&gt;BLDR^JULIAN(FF_EPS(QTR_R,0).DATES)&lt;/Q&gt;&lt;R&gt;1&lt;/R&gt;&lt;C&gt;1&lt;/C&gt;&lt;D xsi:type="xsd:long"&gt;46022&lt;/D&gt;&lt;/FQL&gt;&lt;FQL&gt;&lt;Q&gt;ANSS^JULIAN(FF_EPS(QTR_R,0).DATES)&lt;/Q&gt;&lt;R&gt;1&lt;/R&gt;&lt;C&gt;1&lt;/C&gt;&lt;D xsi:type="xsd:long"&gt;45747&lt;/D&gt;&lt;/FQL&gt;&lt;FQL&gt;&lt;Q&gt;ABNB^FF_EPS(QTR_R,0)&lt;/Q&gt;&lt;R&gt;1&lt;/R&gt;&lt;C&gt;1&lt;/C&gt;&lt;D xsi:type="xsd:double"&gt;0.5554&lt;/D&gt;&lt;/FQL&gt;&lt;FQL&gt;&lt;Q&gt;OTIS^FG_COMPANY_NAME&lt;/Q&gt;&lt;R&gt;1&lt;/R&gt;&lt;C&gt;1&lt;/C&gt;&lt;D xsi:type="xsd:string"&gt;Otis Worldwide Corporation&lt;/D&gt;&lt;/FQL&gt;&lt;FQL&gt;&lt;Q&gt;FCNCA^FG_COMPANY_NAME&lt;/Q&gt;&lt;R&gt;1&lt;/R&gt;&lt;C&gt;1&lt;/C&gt;&lt;D xsi:type="xsd:string"&gt;First Citizens BancShares, Inc. Class A&lt;/D&gt;&lt;/FQL&gt;&lt;FQL&gt;&lt;Q&gt;LHX^FE_ESTIMATE(EPS,MEAN,QTR_ROLL,-0,0,,,'')&lt;/Q&gt;&lt;R&gt;1&lt;/R&gt;&lt;C&gt;1&lt;/C&gt;&lt;D xsi:type="xsd:double"&gt;2.86&lt;/D&gt;&lt;/FQL&gt;&lt;FQL&gt;&lt;Q&gt;CSGP^FE_ESTIMATE(EPS,MEAN,QTR_ROLL,-0,0,,,'')&lt;/Q&gt;&lt;R&gt;1&lt;/R&gt;&lt;C&gt;1&lt;/C&gt;&lt;D xsi:type="xsd:double"&gt;0.31&lt;/D&gt;&lt;/FQL&gt;&lt;FQL&gt;&lt;Q&gt;ADM^FG_COMPANY_NAME&lt;/Q&gt;&lt;R&gt;1&lt;/R&gt;&lt;C&gt;1&lt;/C&gt;&lt;D xsi:type="xsd:string"&gt;Archer-Daniels-Midland Company&lt;/D&gt;&lt;/FQL&gt;&lt;FQL&gt;&lt;Q&gt;BEN^FG_COMPANY_NAME&lt;/Q&gt;&lt;R&gt;1&lt;/R&gt;&lt;C&gt;1&lt;/C&gt;&lt;D xsi:type="xsd:string"&gt;Franklin Resources, Inc.&lt;/D&gt;&lt;/FQL&gt;&lt;FQL&gt;&lt;Q&gt;NTRS^FE_ESTIMATE(EPS,MEAN,QTR_ROLL,-0,0,,,'')&lt;/Q&gt;&lt;R&gt;1&lt;/R&gt;&lt;C&gt;1&lt;/C&gt;&lt;D xsi:type="xsd:double"&gt;2.6365135&lt;/D&gt;&lt;/FQL&gt;&lt;FQL&gt;&lt;Q&gt;AJG^FF_EPS(QTR_R,0)&lt;/Q&gt;&lt;R&gt;1&lt;/R&gt;&lt;C&gt;1&lt;/C&gt;&lt;D xsi:type="xsd:double"&gt;0.5802&lt;/D&gt;&lt;/FQL&gt;&lt;FQL&gt;&lt;Q&gt;PYPL^JULIAN(FF_EPS(QTR_R,0).DATES)&lt;/Q&gt;&lt;R&gt;1&lt;/R&gt;&lt;C&gt;1&lt;/C&gt;&lt;D xsi:type="xsd:long"&gt;46022&lt;/D&gt;&lt;/FQL&gt;&lt;FQL&gt;&lt;Q&gt;HUBB^FF_EPS(QTR_R,0)&lt;/Q&gt;&lt;R&gt;1&lt;/R&gt;&lt;C&gt;1&lt;/C&gt;&lt;D xsi:type="xsd:double"&gt;4.1832&lt;/D&gt;&lt;/FQL&gt;&lt;FQL&gt;&lt;Q&gt;DG^FF_EPS(QTR_R,0)&lt;/Q&gt;&lt;R&gt;1&lt;/R&gt;&lt;C&gt;1&lt;/C&gt;&lt;D xsi:type="xsd:double"&gt;1.9262&lt;/D&gt;&lt;/FQL&gt;&lt;FQL&gt;&lt;Q&gt;BXP^FF_EPS(QTR_R,0)&lt;/Q&gt;&lt;R&gt;1&lt;/R&gt;&lt;C&gt;1&lt;/C&gt;&lt;D xsi:type="xsd:double"&gt;1.5617&lt;/D&gt;&lt;/FQL&gt;&lt;FQL&gt;&lt;Q&gt;ATVI^JULIAN(FF_EPS(QTR_R,0).DATES)&lt;/Q&gt;&lt;R&gt;1&lt;/R&gt;&lt;C&gt;1&lt;/C&gt;&lt;D xsi:type="xsd:long"&gt;45107&lt;/D&gt;&lt;/FQL&gt;&lt;FQL&gt;&lt;Q&gt;TROW^FG_COMPANY_NAME&lt;/Q&gt;&lt;R&gt;1&lt;/R&gt;&lt;C&gt;1&lt;/C&gt;&lt;D xsi:type="xsd:string"&gt;T. Rowe Price Group, Inc.&lt;/D&gt;&lt;/FQL&gt;&lt;FQL&gt;&lt;Q&gt;JBHT^FG_COMPANY_</t>
        </r>
      </text>
    </comment>
    <comment ref="A7" authorId="0" shapeId="0" xr:uid="{4B5F0B85-1C27-46D7-B0F9-496D8E412E0E}">
      <text>
        <r>
          <rPr>
            <b/>
            <sz val="9"/>
            <color indexed="81"/>
            <rFont val="Tahoma"/>
            <charset val="1"/>
          </rPr>
          <t>NAME&lt;/Q&gt;&lt;R&gt;1&lt;/R&gt;&lt;C&gt;1&lt;/C&gt;&lt;D xsi:type="xsd:string"&gt;J.B. Hunt Transport Services, Inc.&lt;/D&gt;&lt;/FQL&gt;&lt;FQL&gt;&lt;Q&gt;GDDY^FG_COMPANY_NAME&lt;/Q&gt;&lt;R&gt;1&lt;/R&gt;&lt;C&gt;1&lt;/C&gt;&lt;D xsi:type="xsd:string"&gt;GoDaddy, Inc. Class A&lt;/D&gt;&lt;/FQL&gt;&lt;FQL&gt;&lt;Q&gt;CF^FG_COMPANY_NAME&lt;/Q&gt;&lt;R&gt;1&lt;/R&gt;&lt;C&gt;1&lt;/C&gt;&lt;D xsi:type="xsd:string"&gt;CF Industries Holdings, Inc.&lt;/D&gt;&lt;/FQL&gt;&lt;FQL&gt;&lt;Q&gt;PXD^FF_EPS(QTR_R,0)&lt;/Q&gt;&lt;R&gt;1&lt;/R&gt;&lt;C&gt;1&lt;/C&gt;&lt;D xsi:type="xsd:double"&gt;4.5732&lt;/D&gt;&lt;/FQL&gt;&lt;FQL&gt;&lt;Q&gt;EXR^FE_ESTIMATE(EPS,MEAN,QTR_ROLL,-0,0,,,'')&lt;/Q&gt;&lt;R&gt;1&lt;/R&gt;&lt;C&gt;1&lt;/C&gt;&lt;D xsi:type="xsd:double"&gt;1.36&lt;/D&gt;&lt;/FQL&gt;&lt;FQL&gt;&lt;Q&gt;CMI^FE_ESTIMATE(EPS,MEAN,QTR_ROLL,-0,0,,,'')&lt;/Q&gt;&lt;R&gt;1&lt;/R&gt;&lt;C&gt;1&lt;/C&gt;&lt;D xsi:type="xsd:double"&gt;5.838345&lt;/D&gt;&lt;/FQL&gt;&lt;FQL&gt;&lt;Q&gt;BX^FE_ESTIMATE(EPS,MEAN,QTR_ROLL,-0,0,,,'')&lt;/Q&gt;&lt;R&gt;1&lt;/R&gt;&lt;C&gt;1&lt;/C&gt;&lt;D xsi:type="xsd:double"&gt;1.75&lt;/D&gt;&lt;/FQL&gt;&lt;FQL&gt;&lt;Q&gt;ATO^FF_EPS(QTR_R,0)&lt;/Q&gt;&lt;R&gt;1&lt;/R&gt;&lt;C&gt;1&lt;/C&gt;&lt;D xsi:type="xsd:double"&gt;2.4433&lt;/D&gt;&lt;/FQL&gt;&lt;FQL&gt;&lt;Q&gt;ADSK^JULIAN(FF_EPS(QTR_R,0).DATES)&lt;/Q&gt;&lt;R&gt;1&lt;/R&gt;&lt;C&gt;1&lt;/C&gt;&lt;D xsi:type="xsd:long"&gt;46052&lt;/D&gt;&lt;/FQL&gt;&lt;FQL&gt;&lt;Q&gt;TRMB^FG_COMPANY_NAME&lt;/Q&gt;&lt;R&gt;1&lt;/R&gt;&lt;C&gt;1&lt;/C&gt;&lt;D xsi:type="xsd:string"&gt;Trimble Inc.&lt;/D&gt;&lt;/FQL&gt;&lt;FQL&gt;&lt;Q&gt;PNR^FG_COMPANY_NAME&lt;/Q&gt;&lt;R&gt;1&lt;/R&gt;&lt;C&gt;1&lt;/C&gt;&lt;D xsi:type="xsd:string"&gt;Pentair plc&lt;/D&gt;&lt;/FQL&gt;&lt;FQL&gt;&lt;Q&gt;FTV^FG_COMPANY_NAME&lt;/Q&gt;&lt;R&gt;1&lt;/R&gt;&lt;C&gt;1&lt;/C&gt;&lt;D xsi:type="xsd:string"&gt;Fortive Corp.&lt;/D&gt;&lt;/FQL&gt;&lt;FQL&gt;&lt;Q&gt;DOV^FG_COMPANY_NAME&lt;/Q&gt;&lt;R&gt;1&lt;/R&gt;&lt;C&gt;1&lt;/C&gt;&lt;D xsi:type="xsd:string"&gt;Dover Corporation&lt;/D&gt;&lt;/FQL&gt;&lt;FQL&gt;&lt;Q&gt;NUE^FE_ESTIMATE(EPS,MEAN,QTR_ROLL,-0,0,,,'')&lt;/Q&gt;&lt;R&gt;1&lt;/R&gt;&lt;C&gt;1&lt;/C&gt;&lt;D xsi:type="xsd:double"&gt;1.73&lt;/D&gt;&lt;/FQL&gt;&lt;FQL&gt;&lt;Q&gt;EQR^JULIAN(FF_EPS(QTR_R,0).DATES)&lt;/Q&gt;&lt;R&gt;1&lt;/R&gt;&lt;C&gt;1&lt;/C&gt;&lt;D xsi:type="xsd:long"&gt;46022&lt;/D&gt;&lt;/FQL&gt;&lt;FQL&gt;&lt;Q&gt;CVX^JULIAN(FF_EPS(QTR_R,0).DATES)&lt;/Q&gt;&lt;R&gt;1&lt;/R&gt;&lt;C&gt;1&lt;/C&gt;&lt;D xsi:type="xsd:long"&gt;46022&lt;/D&gt;&lt;/FQL&gt;&lt;FQL&gt;&lt;Q&gt;CI^JULIAN(FF_EPS(QTR_R,0).DATES)&lt;/Q&gt;&lt;R&gt;1&lt;/R&gt;&lt;C&gt;1&lt;/C&gt;&lt;D xsi:type="xsd:long"&gt;46022&lt;/D&gt;&lt;/FQL&gt;&lt;FQL&gt;&lt;Q&gt;AAPL^FE_ESTIMATE(EPS,MEAN,QTR_ROLL,-0,0,,,'')&lt;/Q&gt;&lt;R&gt;1&lt;/R&gt;&lt;C&gt;1&lt;/C&gt;&lt;D xsi:type="xsd:double"&gt;2.84&lt;/D&gt;&lt;/FQL&gt;&lt;FQL&gt;&lt;Q&gt;EFX^FF_EPS(QTR_R,0)&lt;/Q&gt;&lt;R&gt;1&lt;/R&gt;&lt;C&gt;1&lt;/C&gt;&lt;D xsi:type="xsd:double"&gt;1.4374&lt;/D&gt;&lt;/FQL&gt;&lt;FQL&gt;&lt;Q&gt;CE^FE_ESTIMATE(EPS,MEAN,QTR_ROLL,-0,0,,,'')&lt;/Q&gt;&lt;R&gt;1&lt;/R&gt;&lt;C&gt;1&lt;/C&gt;&lt;D xsi:type="xsd:double"&gt;0.67&lt;/D&gt;&lt;/FQL&gt;&lt;FQL&gt;&lt;Q&gt;NTAP^FG_COMPANY_NAME&lt;/Q&gt;&lt;R&gt;1&lt;/R&gt;&lt;C&gt;1&lt;/C&gt;&lt;D xsi:type="xsd:string"&gt;NetApp, Inc.&lt;/D&gt;&lt;/FQL&gt;&lt;FQL&gt;&lt;Q&gt;FAST^FG_COMPANY_NAME&lt;/Q&gt;&lt;R&gt;1&lt;/R&gt;&lt;C&gt;1&lt;/C&gt;&lt;D xsi:type="xsd:string"&gt;Fastenal Company&lt;/D&gt;&lt;/FQL&gt;&lt;FQL&gt;&lt;Q&gt;TGT^FE_ESTIMATE(EPS,MEAN,QTR_ROLL,-0,0,,,'')&lt;/Q&gt;&lt;R&gt;1&lt;/R&gt;&lt;C&gt;1&lt;/C&gt;&lt;D xsi:type="xsd:double"&gt;2.44&lt;/D&gt;&lt;/FQL&gt;&lt;FQL&gt;&lt;Q&gt;GEN^FF_EPS(QTR_R,0)&lt;/Q&gt;&lt;R&gt;1&lt;/R&gt;&lt;C&gt;1&lt;/C&gt;&lt;D xsi:type="xsd:double"&gt;0.3107&lt;/D&gt;&lt;/FQL&gt;&lt;FQL&gt;&lt;Q&gt;CE^JULIAN(FF_EPS(QTR_R,0).DATES)&lt;/Q&gt;&lt;R&gt;1&lt;/R&gt;&lt;C&gt;1&lt;/C&gt;&lt;D xsi:type="xsd:long"&gt;46022&lt;/D&gt;&lt;/FQL&gt;&lt;FQL&gt;&lt;Q&gt;AMD^FE_ESTIMATE(EPS,MEAN,QTR_ROLL,-0,0,,,'')&lt;/Q&gt;&lt;R&gt;1&lt;/R&gt;&lt;C&gt;1&lt;/C&gt;&lt;D xsi:type="xsd:double"&gt;1.53&lt;/D&gt;&lt;/FQL&gt;&lt;FQL&gt;&lt;Q&gt;EFX^JULIAN(FF_EPS(QTR_R,0).DATES)&lt;/Q&gt;&lt;R&gt;1&lt;/R&gt;&lt;C&gt;1&lt;/C&gt;&lt;D xsi:type="xsd:long"&gt;46022&lt;/D&gt;&lt;/FQL&gt;&lt;FQL&gt;&lt;Q&gt;ROK^FG_COMPANY_NAME&lt;/Q&gt;&lt;R&gt;1&lt;/R&gt;&lt;C&gt;1&lt;/C&gt;&lt;D xsi:type="xsd:string"&gt;Rockwell Automation, Inc.&lt;/D&gt;&lt;/FQL&gt;&lt;FQL&gt;&lt;Q&gt;NRG^FG_COMPANY_NAME&lt;/Q&gt;&lt;R&gt;1&lt;/R&gt;&lt;C&gt;1&lt;/C&gt;&lt;D xsi:type="xsd:string"&gt;NRG Energy, Inc.&lt;/D&gt;&lt;/FQL&gt;&lt;FQL&gt;&lt;Q&gt;EPAM^FG_COMPANY_NAME&lt;/Q&gt;&lt;R&gt;1&lt;/R&gt;&lt;C&gt;1&lt;/C&gt;&lt;D xsi:type="xsd:string"&gt;EPAM Systems, Inc.&lt;/D&gt;&lt;/FQL&gt;&lt;FQL&gt;&lt;Q&gt;MS^FE_ESTIMATE(EPS,MEAN,QTR_ROLL,-0,0,,,'')&lt;/Q&gt;&lt;R&gt;1&lt;/R&gt;&lt;C&gt;1&lt;/C&gt;&lt;D xsi:type="xsd:double"&gt;2.68&lt;/D&gt;&lt;/FQL&gt;&lt;FQL&gt;&lt;Q&gt;CPAY^JULIAN(FF_EPS(QTR_R,0).DATES)&lt;/Q&gt;&lt;R&gt;1&lt;/R&gt;&lt;C&gt;1&lt;/C&gt;&lt;D xsi:type="xsd:long"&gt;46022&lt;/D&gt;&lt;/FQL&gt;&lt;FQL&gt;&lt;Q&gt;DTE^FE_ESTIMATE(EPS,MEAN,QTR_ROLL,-0,0,,,'')&lt;/Q&gt;&lt;R&gt;1&lt;/R&gt;&lt;C&gt;1&lt;/C&gt;&lt;D xsi:type="xsd:double"&gt;1.65&lt;/D&gt;&lt;/FQL&gt;&lt;FQL&gt;&lt;Q&gt;VICI^FG_COMPANY_NAME&lt;/Q&gt;&lt;R&gt;1&lt;/R&gt;&lt;C&gt;1&lt;/C&gt;&lt;D xsi:type="xsd:string"&gt;VICI Properties Inc&lt;/D&gt;&lt;/FQL&gt;&lt;FQL&gt;&lt;Q&gt;CHRW^FG_COMPANY_NAME&lt;/Q&gt;&lt;R&gt;1&lt;/R&gt;&lt;C&gt;1&lt;/C&gt;&lt;D xsi:type="xsd:string"&gt;C.H. Robinson Worldwide, Inc.&lt;/D&gt;&lt;/FQL&gt;&lt;FQL&gt;&lt;Q&gt;COST^JULIAN(FF_EPS(QTR_R,0).DATES)&lt;/Q&gt;&lt;R&gt;1&lt;/R&gt;&lt;C&gt;1&lt;/C&gt;&lt;D xsi:type="xsd:long"&gt;46080&lt;/D&gt;&lt;/FQL&gt;&lt;FQL&gt;&lt;Q&gt;AXP^FE_ESTIMATE(EPS,MEAN,QTR_ROLL,-0,0,,,'')&lt;/Q&gt;&lt;R&gt;1&lt;/R&gt;&lt;C&gt;1&lt;/C&gt;&lt;D xsi:type="xsd:double"&gt;3.53&lt;/D&gt;&lt;/FQL&gt;&lt;FQL&gt;&lt;Q&gt;APH^FG_COMPANY_NAME&lt;/Q&gt;&lt;R&gt;1&lt;/R&gt;&lt;C&gt;1&lt;/C&gt;&lt;D xsi:type="xsd:string"&gt;Amphenol Corporation Class A&lt;/D&gt;&lt;/FQL&gt;&lt;FQL&gt;&lt;Q&gt;MRNA^FE_ESTIMATE(EPS,MEAN,QTR_ROLL,-0,0,,,'')&lt;/Q&gt;&lt;R&gt;1&lt;/R&gt;&lt;C&gt;1&lt;/C&gt;&lt;D xsi:type="xsd:double"&gt;-2.11&lt;/D&gt;&lt;/FQL&gt;&lt;FQL&gt;&lt;Q&gt;PPL^FG_COMPANY_NAME&lt;/Q&gt;&lt;R&gt;1&lt;/R&gt;&lt;C&gt;1&lt;/C&gt;&lt;D xsi:type="xsd:string"&gt;PPL Corporation&lt;/D&gt;&lt;/FQL&gt;&lt;/Schema&gt;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<sst xmlns="http://schemas.openxmlformats.org/spreadsheetml/2006/main" count="1007" uniqueCount="517">
  <si>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</si>
  <si>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</si>
  <si>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</si>
  <si>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</si>
  <si>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</si>
  <si>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</si>
  <si>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</si>
  <si>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</si>
  <si>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</si>
  <si>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</si>
  <si>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</si>
  <si>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</si>
  <si>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</si>
  <si>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</si>
  <si>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</si>
  <si>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</si>
  <si>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</si>
  <si>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</si>
  <si>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</si>
  <si>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</si>
  <si>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</si>
  <si>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</si>
  <si>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</si>
  <si>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</si>
  <si>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</si>
  <si>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</si>
  <si>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</si>
  <si>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</si>
  <si>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</si>
  <si>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</si>
  <si>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</si>
  <si>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</si>
  <si>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</si>
  <si>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</si>
  <si>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</si>
  <si>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</si>
  <si>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</si>
  <si>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</si>
  <si>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</si>
  <si>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</si>
  <si>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</si>
  <si>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</si>
  <si>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</si>
  <si>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</si>
  <si>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</si>
  <si>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</si>
  <si>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</si>
  <si>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</si>
  <si>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</si>
  <si>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</si>
  <si>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</si>
  <si>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</si>
  <si>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BBWI</t>
  </si>
  <si>
    <t>BBY</t>
  </si>
  <si>
    <t>BDX</t>
  </si>
  <si>
    <t>BEN</t>
  </si>
  <si>
    <t>BF.B</t>
  </si>
  <si>
    <t>BG</t>
  </si>
  <si>
    <t>BIIB</t>
  </si>
  <si>
    <t>BIO</t>
  </si>
  <si>
    <t>BK</t>
  </si>
  <si>
    <t>BKNG</t>
  </si>
  <si>
    <t>BKR</t>
  </si>
  <si>
    <t>BLDR</t>
  </si>
  <si>
    <t>BLK</t>
  </si>
  <si>
    <t>BMY</t>
  </si>
  <si>
    <t>BR</t>
  </si>
  <si>
    <t>BRK.B</t>
  </si>
  <si>
    <t>BRO</t>
  </si>
  <si>
    <t>BSX</t>
  </si>
  <si>
    <t>BWA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</si>
  <si>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</si>
  <si>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</si>
  <si>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</si>
  <si>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</si>
  <si>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</si>
  <si>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</si>
  <si>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</si>
  <si>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</si>
  <si>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</si>
  <si>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</si>
  <si>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</si>
  <si>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</si>
  <si>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</si>
  <si>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</si>
  <si>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</si>
  <si>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</si>
  <si>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</si>
  <si>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</si>
  <si>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</si>
  <si>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</si>
  <si>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</si>
  <si>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</si>
  <si>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</si>
  <si>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</si>
  <si>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</si>
  <si>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</si>
  <si>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</si>
  <si>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</si>
  <si>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</si>
  <si>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</si>
  <si>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</si>
  <si>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</si>
  <si>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</si>
  <si>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</si>
  <si>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</si>
  <si>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</si>
  <si>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</si>
  <si>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</si>
  <si>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</si>
  <si>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</si>
  <si>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</si>
  <si>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</si>
  <si>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</si>
  <si>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</si>
  <si>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</si>
  <si>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</si>
  <si>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</si>
  <si>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</si>
  <si>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</si>
  <si>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</si>
  <si>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</si>
  <si>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</si>
  <si>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</si>
  <si>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</si>
  <si>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</si>
  <si>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</si>
  <si>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</si>
  <si>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</si>
  <si>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DAY</t>
  </si>
  <si>
    <t>DD</t>
  </si>
  <si>
    <t>DE</t>
  </si>
  <si>
    <t>DECK</t>
  </si>
  <si>
    <t>DFS</t>
  </si>
  <si>
    <t>DG</t>
  </si>
  <si>
    <t>DGX</t>
  </si>
  <si>
    <t>DHI</t>
  </si>
  <si>
    <t>DHR</t>
  </si>
  <si>
    <t>DIS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</si>
  <si>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</si>
  <si>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</si>
  <si>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</si>
  <si>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</si>
  <si>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</si>
  <si>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</si>
  <si>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</si>
  <si>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</si>
  <si>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</si>
  <si>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</si>
  <si>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</si>
  <si>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</si>
  <si>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</si>
  <si>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</si>
  <si>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</si>
  <si>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</si>
  <si>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</si>
  <si>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</si>
  <si>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</si>
  <si>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</si>
  <si>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</si>
  <si>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</si>
  <si>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</si>
  <si>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</si>
  <si>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</si>
  <si>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</si>
  <si>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</si>
  <si>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</si>
  <si>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</si>
  <si>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</si>
  <si>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</si>
  <si>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</si>
  <si>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</si>
  <si>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</si>
  <si>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</si>
  <si>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</si>
  <si>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</si>
  <si>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</si>
  <si>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FCNCA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</si>
  <si>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</si>
  <si>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</si>
  <si>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</si>
  <si>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</si>
  <si>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</si>
  <si>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</si>
  <si>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</si>
  <si>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</si>
  <si>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</si>
  <si>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FLT</t>
  </si>
  <si>
    <t>FMC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</si>
  <si>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</si>
  <si>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</si>
  <si>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</si>
  <si>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</si>
  <si>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</si>
  <si>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</si>
  <si>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</si>
  <si>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</si>
  <si>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</si>
  <si>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</si>
  <si>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</si>
  <si>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</si>
  <si>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</si>
  <si>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</si>
  <si>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</si>
  <si>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</si>
  <si>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</si>
  <si>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</si>
  <si>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</si>
  <si>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</si>
  <si>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</si>
  <si>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</si>
  <si>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</si>
  <si>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</si>
  <si>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</si>
  <si>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</si>
  <si>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</si>
  <si>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</si>
  <si>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</si>
  <si>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</si>
  <si>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</si>
  <si>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</si>
  <si>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</si>
  <si>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</si>
  <si>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</si>
  <si>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</si>
  <si>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</si>
  <si>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</si>
  <si>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</si>
  <si>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</si>
  <si>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</si>
  <si>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</si>
  <si>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</si>
  <si>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</si>
  <si>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</si>
  <si>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</si>
  <si>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</si>
  <si>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</si>
  <si>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</si>
  <si>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</si>
  <si>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</si>
  <si>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</si>
  <si>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</si>
  <si>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</si>
  <si>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</si>
  <si>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</si>
  <si>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</si>
  <si>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</si>
  <si>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</si>
  <si>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</si>
  <si>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</si>
  <si>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</si>
  <si>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</si>
  <si>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</si>
  <si>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</si>
  <si>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</si>
  <si>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</si>
  <si>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</si>
  <si>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</si>
  <si>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</si>
  <si>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</si>
  <si>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</si>
  <si>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</si>
  <si>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</si>
  <si>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</si>
  <si>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</si>
  <si>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</si>
  <si>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</si>
  <si>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</si>
  <si>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</si>
  <si>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</si>
  <si>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</si>
  <si>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</si>
  <si>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</si>
  <si>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</si>
  <si>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</si>
  <si>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</si>
  <si>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</si>
  <si>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</si>
  <si>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</si>
  <si>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</si>
  <si>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</si>
  <si>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</si>
  <si>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</si>
  <si>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</si>
  <si>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</si>
  <si>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</si>
  <si>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</si>
  <si>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</si>
  <si>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</si>
  <si>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</si>
  <si>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</si>
  <si>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</si>
  <si>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</si>
  <si>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</si>
  <si>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</si>
  <si>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</si>
  <si>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</si>
  <si>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</si>
  <si>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</si>
  <si>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</si>
  <si>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</si>
  <si>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</si>
  <si>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</si>
  <si>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</si>
  <si>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</si>
  <si>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</si>
  <si>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</si>
  <si>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</si>
  <si>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</si>
  <si>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</si>
  <si>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</si>
  <si>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</si>
  <si>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</si>
  <si>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</si>
  <si>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</si>
  <si>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</si>
  <si>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</si>
  <si>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</si>
  <si>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</si>
  <si>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</si>
  <si>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</si>
  <si>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</si>
  <si>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</si>
  <si>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</si>
  <si>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</si>
  <si>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</si>
  <si>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</si>
  <si>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</si>
  <si>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</si>
  <si>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</si>
  <si>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</si>
  <si>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</si>
  <si>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</si>
  <si>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</si>
  <si>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</si>
  <si>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</si>
  <si>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</si>
  <si>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</si>
  <si>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</si>
  <si>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</si>
  <si>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</si>
  <si>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</si>
  <si>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</si>
  <si>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</si>
  <si>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</si>
  <si>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</si>
  <si>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</si>
  <si>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</si>
  <si>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</si>
  <si>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</si>
  <si>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</si>
  <si>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</si>
  <si>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</si>
  <si>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PARA</t>
  </si>
  <si>
    <t>PAYC</t>
  </si>
  <si>
    <t>PAYX</t>
  </si>
  <si>
    <t>PCAR</t>
  </si>
  <si>
    <t>PCG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</si>
  <si>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</si>
  <si>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</si>
  <si>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</si>
  <si>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</si>
  <si>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</si>
  <si>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</si>
  <si>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</si>
  <si>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</si>
  <si>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</si>
  <si>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</si>
  <si>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</si>
  <si>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</si>
  <si>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</si>
  <si>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</si>
  <si>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</si>
  <si>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</si>
  <si>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</si>
  <si>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</si>
  <si>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</si>
  <si>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</si>
  <si>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</si>
  <si>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</si>
  <si>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</si>
  <si>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</si>
  <si>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</si>
  <si>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</si>
  <si>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</si>
  <si>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</si>
  <si>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</si>
  <si>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</si>
  <si>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</si>
  <si>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</si>
  <si>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</si>
  <si>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</si>
  <si>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</si>
  <si>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</si>
  <si>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</si>
  <si>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</si>
  <si>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</si>
  <si>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</si>
  <si>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</si>
  <si>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</si>
  <si>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</si>
  <si>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</si>
  <si>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</si>
  <si>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</si>
  <si>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</si>
  <si>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</si>
  <si>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SEE</t>
  </si>
  <si>
    <t>SHW</t>
  </si>
  <si>
    <t>SJM</t>
  </si>
  <si>
    <t>SLB</t>
  </si>
  <si>
    <t>SMCI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</si>
  <si>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</si>
  <si>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</si>
  <si>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</si>
  <si>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</si>
  <si>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</si>
  <si>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</si>
  <si>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</si>
  <si>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</si>
  <si>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</si>
  <si>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</si>
  <si>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</si>
  <si>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</si>
  <si>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</si>
  <si>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</si>
  <si>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</si>
  <si>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</si>
  <si>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</si>
  <si>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</si>
  <si>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</si>
  <si>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</si>
  <si>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</si>
  <si>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</si>
  <si>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</si>
  <si>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</si>
  <si>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</si>
  <si>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</si>
  <si>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</si>
  <si>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</si>
  <si>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</si>
  <si>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</si>
  <si>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</si>
  <si>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</si>
  <si>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</si>
  <si>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</si>
  <si>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</si>
  <si>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</si>
  <si>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</si>
  <si>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</si>
  <si>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</si>
  <si>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</si>
  <si>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</si>
  <si>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</si>
  <si>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</si>
  <si>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</si>
  <si>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</si>
  <si>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</si>
  <si>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</si>
  <si>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</si>
  <si>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</si>
  <si>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</si>
  <si>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</si>
  <si>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</si>
  <si>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</si>
  <si>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</si>
  <si>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</si>
  <si>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</si>
  <si>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</si>
  <si>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</si>
  <si>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</si>
  <si>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</si>
  <si>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</si>
  <si>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</si>
  <si>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</si>
  <si>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</si>
  <si>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</si>
  <si>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</si>
  <si>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WBA</t>
  </si>
  <si>
    <t>WBD</t>
  </si>
  <si>
    <t>WDC</t>
  </si>
  <si>
    <t>WEC</t>
  </si>
  <si>
    <t>WELL</t>
  </si>
  <si>
    <t>WFC</t>
  </si>
  <si>
    <t>WM</t>
  </si>
  <si>
    <t>WMB</t>
  </si>
  <si>
    <t>WMT</t>
  </si>
  <si>
    <t>WRB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</si>
  <si>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</si>
  <si>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</si>
  <si>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</si>
  <si>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</si>
  <si>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</si>
  <si>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</si>
  <si>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</si>
  <si>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</si>
  <si>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</si>
  <si>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</si>
  <si>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ZION</t>
  </si>
  <si>
    <t>ZTS</t>
  </si>
  <si>
    <t>TICKERS</t>
  </si>
  <si>
    <t>COMPANY</t>
  </si>
  <si>
    <t>SECTOR</t>
  </si>
  <si>
    <t>EPS_ACTUAL_DATE</t>
  </si>
  <si>
    <t>EPS_ACTUAL</t>
  </si>
  <si>
    <t>EPS_ESTIMATE</t>
  </si>
  <si>
    <t>Utilities</t>
  </si>
  <si>
    <t>This sheet contains FactSet XML data for use with this workbook's =FDS codes.  Modifying the worksheet's contents may damage the workbook's =FDS functionality.</t>
  </si>
  <si>
    <t>Health Care</t>
  </si>
  <si>
    <t>Information Technology</t>
  </si>
  <si>
    <t>Consumer Discretionary</t>
  </si>
  <si>
    <t>Financials</t>
  </si>
  <si>
    <t>Consumer Staples</t>
  </si>
  <si>
    <t>Industrials</t>
  </si>
  <si>
    <t>Materials</t>
  </si>
  <si>
    <t>Real Estate</t>
  </si>
  <si>
    <t>Energy</t>
  </si>
  <si>
    <t>Communication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</si>
</sst>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EF5E-7515-45F2-A94B-B53144E7C4DC}">
  <dimension ref="A1:B7"/>
  <sheetViews>
    <sheetView workbookViewId="0"/>
  </sheetViews>
  <sheetFormatPr defaultRowHeight="14.25" x14ac:dyDescent="0.45"/>
  <sheetData>
    <row r="1" spans="1:2" x14ac:dyDescent="0.45">
      <c r="B1" t="s">
        <v>506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355C-1FC9-483B-8E75-9638987B1AE2}">
  <dimension ref="A1:G501"/>
  <sheetViews>
    <sheetView tabSelected="1" workbookViewId="0">
      <selection activeCell="E2" sqref="E2"/>
    </sheetView>
  </sheetViews>
  <sheetFormatPr defaultRowHeight="14.25" x14ac:dyDescent="0.45"/>
  <cols>
    <col min="2" max="2" width="41.86328125" bestFit="1" customWidth="1"/>
    <col min="3" max="3" width="20.06640625" bestFit="1" customWidth="1"/>
    <col min="4" max="4" width="16.19921875" customWidth="1"/>
    <col min="5" max="5" width="10.9296875" customWidth="1"/>
    <col min="6" max="6" width="12.59765625" customWidth="1"/>
  </cols>
  <sheetData>
    <row r="1" spans="1:7" x14ac:dyDescent="0.45">
      <c r="A1" s="1" t="s">
        <v>499</v>
      </c>
      <c r="B1" s="1" t="s">
        <v>500</v>
      </c>
      <c r="C1" s="1" t="s">
        <v>501</v>
      </c>
      <c r="D1" s="1" t="s">
        <v>502</v>
      </c>
      <c r="E1" s="1" t="s">
        <v>503</v>
      </c>
      <c r="F1" s="1" t="s">
        <v>504</v>
      </c>
    </row>
    <row r="2" spans="1:7" x14ac:dyDescent="0.45">
      <c r="A2" t="s">
        <v>0</v>
      </c>
      <c r="B2" t="str" cm="1">
        <f t="array" ref="B2">_xll.FDS(A2,"FG_COMPANY_NAME")</f>
        <v>Agilent Technologies, Inc.</v>
      </c>
      <c r="C2" t="s">
        <v>507</v>
      </c>
      <c r="D2" s="2" cm="1">
        <f t="array" ref="D2">_xll.FDS(A2,"JULIAN(FF_EPS(QTR_R,0).dates)")</f>
        <v>46052</v>
      </c>
      <c r="E2" cm="1">
        <f t="array" ref="E2">_xll.FDS(A2,"FF_EPS(QTR_R,0)")</f>
        <v>1.0739000000000001</v>
      </c>
      <c r="F2" cm="1">
        <f t="array" ref="F2">_xll.FDS(A2,"FE_ESTIMATE(EPS,MEAN,QTR_ROLL,-0,0,,,'')")</f>
        <v>1.36</v>
      </c>
      <c r="G2" s="3"/>
    </row>
    <row r="3" spans="1:7" x14ac:dyDescent="0.45">
      <c r="A3" t="s">
        <v>1</v>
      </c>
      <c r="B3" t="str" cm="1">
        <f t="array" ref="B3">_xll.FDS(A3,"FG_COMPANY_NAME")</f>
        <v>Apple Inc.</v>
      </c>
      <c r="C3" t="s">
        <v>508</v>
      </c>
      <c r="D3" s="2" cm="1">
        <f t="array" ref="D3">_xll.FDS(A3,"JULIAN(FF_EPS(QTR_R,0).dates)")</f>
        <v>46022</v>
      </c>
      <c r="E3" cm="1">
        <f t="array" ref="E3">_xll.FDS(A3,"FF_EPS(QTR_R,0)")</f>
        <v>2.8424</v>
      </c>
      <c r="F3" cm="1">
        <f t="array" ref="F3">_xll.FDS(A3,"FE_ESTIMATE(EPS,MEAN,QTR_ROLL,-0,0,,,'')")</f>
        <v>2.84</v>
      </c>
    </row>
    <row r="4" spans="1:7" x14ac:dyDescent="0.45">
      <c r="A4" t="s">
        <v>2</v>
      </c>
      <c r="B4" t="str" cm="1">
        <f t="array" ref="B4">_xll.FDS(A4,"FG_COMPANY_NAME")</f>
        <v>AbbVie, Inc.</v>
      </c>
      <c r="C4" t="s">
        <v>507</v>
      </c>
      <c r="D4" s="2" cm="1">
        <f t="array" ref="D4">_xll.FDS(A4,"JULIAN(FF_EPS(QTR_R,0).dates)")</f>
        <v>46022</v>
      </c>
      <c r="E4" cm="1">
        <f t="array" ref="E4">_xll.FDS(A4,"FF_EPS(QTR_R,0)")</f>
        <v>1.018</v>
      </c>
      <c r="F4" cm="1">
        <f t="array" ref="F4">_xll.FDS(A4,"FE_ESTIMATE(EPS,MEAN,QTR_ROLL,-0,0,,,'')")</f>
        <v>2.71</v>
      </c>
    </row>
    <row r="5" spans="1:7" x14ac:dyDescent="0.45">
      <c r="A5" t="s">
        <v>3</v>
      </c>
      <c r="B5" t="str" cm="1">
        <f t="array" ref="B5">_xll.FDS(A5,"FG_COMPANY_NAME")</f>
        <v>Airbnb, Inc. Class A</v>
      </c>
      <c r="C5" t="s">
        <v>509</v>
      </c>
      <c r="D5" s="2" cm="1">
        <f t="array" ref="D5">_xll.FDS(A5,"JULIAN(FF_EPS(QTR_R,0).dates)")</f>
        <v>46022</v>
      </c>
      <c r="E5" cm="1">
        <f t="array" ref="E5">_xll.FDS(A5,"FF_EPS(QTR_R,0)")</f>
        <v>0.5554</v>
      </c>
      <c r="F5" cm="1">
        <f t="array" ref="F5">_xll.FDS(A5,"FE_ESTIMATE(EPS,MEAN,QTR_ROLL,-0,0,,,'')")</f>
        <v>0.56000000000000005</v>
      </c>
    </row>
    <row r="6" spans="1:7" x14ac:dyDescent="0.45">
      <c r="A6" t="s">
        <v>4</v>
      </c>
      <c r="B6" t="str" cm="1">
        <f t="array" ref="B6">_xll.FDS(A6,"FG_COMPANY_NAME")</f>
        <v>Abbott Laboratories</v>
      </c>
      <c r="C6" t="s">
        <v>507</v>
      </c>
      <c r="D6" s="2" cm="1">
        <f t="array" ref="D6">_xll.FDS(A6,"JULIAN(FF_EPS(QTR_R,0).dates)")</f>
        <v>46022</v>
      </c>
      <c r="E6" cm="1">
        <f t="array" ref="E6">_xll.FDS(A6,"FF_EPS(QTR_R,0)")</f>
        <v>1.0303</v>
      </c>
      <c r="F6" cm="1">
        <f t="array" ref="F6">_xll.FDS(A6,"FE_ESTIMATE(EPS,MEAN,QTR_ROLL,-0,0,,,'')")</f>
        <v>1.5</v>
      </c>
    </row>
    <row r="7" spans="1:7" x14ac:dyDescent="0.45">
      <c r="A7" t="s">
        <v>5</v>
      </c>
      <c r="B7" t="str" cm="1">
        <f t="array" ref="B7">_xll.FDS(A7,"FG_COMPANY_NAME")</f>
        <v>Arch Capital Group Ltd.</v>
      </c>
      <c r="C7" t="s">
        <v>510</v>
      </c>
      <c r="D7" s="2" cm="1">
        <f t="array" ref="D7">_xll.FDS(A7,"JULIAN(FF_EPS(QTR_R,0).dates)")</f>
        <v>46022</v>
      </c>
      <c r="E7" cm="1">
        <f t="array" ref="E7">_xll.FDS(A7,"FF_EPS(QTR_R,0)")</f>
        <v>3.3496999999999999</v>
      </c>
      <c r="F7" cm="1">
        <f t="array" ref="F7">_xll.FDS(A7,"FE_ESTIMATE(EPS,MEAN,QTR_ROLL,-0,0,,,'')")</f>
        <v>2.98</v>
      </c>
    </row>
    <row r="8" spans="1:7" x14ac:dyDescent="0.45">
      <c r="A8" t="s">
        <v>6</v>
      </c>
      <c r="B8" t="str" cm="1">
        <f t="array" ref="B8">_xll.FDS(A8,"FG_COMPANY_NAME")</f>
        <v>Accenture Plc Class A</v>
      </c>
      <c r="C8" t="s">
        <v>508</v>
      </c>
      <c r="D8" s="2" cm="1">
        <f t="array" ref="D8">_xll.FDS(A8,"JULIAN(FF_EPS(QTR_R,0).dates)")</f>
        <v>46080</v>
      </c>
      <c r="E8" cm="1">
        <f t="array" ref="E8">_xll.FDS(A8,"FF_EPS(QTR_R,0)")</f>
        <v>2.9342000000000001</v>
      </c>
      <c r="F8" cm="1">
        <f t="array" ref="F8">_xll.FDS(A8,"FE_ESTIMATE(EPS,MEAN,QTR_ROLL,-0,0,,,'')")</f>
        <v>2.9334910000000001</v>
      </c>
    </row>
    <row r="9" spans="1:7" x14ac:dyDescent="0.45">
      <c r="A9" t="s">
        <v>7</v>
      </c>
      <c r="B9" t="str" cm="1">
        <f t="array" ref="B9">_xll.FDS(A9,"FG_COMPANY_NAME")</f>
        <v>Adobe Inc.</v>
      </c>
      <c r="C9" t="s">
        <v>508</v>
      </c>
      <c r="D9" s="2" cm="1">
        <f t="array" ref="D9">_xll.FDS(A9,"JULIAN(FF_EPS(QTR_R,0).dates)")</f>
        <v>46080</v>
      </c>
      <c r="E9" cm="1">
        <f t="array" ref="E9">_xll.FDS(A9,"FF_EPS(QTR_R,0)")</f>
        <v>4.5960999999999999</v>
      </c>
      <c r="F9" cm="1">
        <f t="array" ref="F9">_xll.FDS(A9,"FE_ESTIMATE(EPS,MEAN,QTR_ROLL,-0,0,,,'')")</f>
        <v>6.06</v>
      </c>
    </row>
    <row r="10" spans="1:7" x14ac:dyDescent="0.45">
      <c r="A10" t="s">
        <v>8</v>
      </c>
      <c r="B10" t="str" cm="1">
        <f t="array" ref="B10">_xll.FDS(A10,"FG_COMPANY_NAME")</f>
        <v>Analog Devices, Inc.</v>
      </c>
      <c r="C10" t="s">
        <v>508</v>
      </c>
      <c r="D10" s="2" cm="1">
        <f t="array" ref="D10">_xll.FDS(A10,"JULIAN(FF_EPS(QTR_R,0).dates)")</f>
        <v>46052</v>
      </c>
      <c r="E10" cm="1">
        <f t="array" ref="E10">_xll.FDS(A10,"FF_EPS(QTR_R,0)")</f>
        <v>1.6898</v>
      </c>
      <c r="F10" cm="1">
        <f t="array" ref="F10">_xll.FDS(A10,"FE_ESTIMATE(EPS,MEAN,QTR_ROLL,-0,0,,,'')")</f>
        <v>2.46</v>
      </c>
    </row>
    <row r="11" spans="1:7" x14ac:dyDescent="0.45">
      <c r="A11" t="s">
        <v>9</v>
      </c>
      <c r="B11" t="str" cm="1">
        <f t="array" ref="B11">_xll.FDS(A11,"FG_COMPANY_NAME")</f>
        <v>Archer-Daniels-Midland Company</v>
      </c>
      <c r="C11" t="s">
        <v>511</v>
      </c>
      <c r="D11" s="2" cm="1">
        <f t="array" ref="D11">_xll.FDS(A11,"JULIAN(FF_EPS(QTR_R,0).dates)")</f>
        <v>46022</v>
      </c>
      <c r="E11" cm="1">
        <f t="array" ref="E11">_xll.FDS(A11,"FF_EPS(QTR_R,0)")</f>
        <v>0.94220000000000004</v>
      </c>
      <c r="F11" cm="1">
        <f t="array" ref="F11">_xll.FDS(A11,"FE_ESTIMATE(EPS,MEAN,QTR_ROLL,-0,0,,,'')")</f>
        <v>0.87</v>
      </c>
    </row>
    <row r="12" spans="1:7" x14ac:dyDescent="0.45">
      <c r="A12" t="s">
        <v>10</v>
      </c>
      <c r="B12" t="str" cm="1">
        <f t="array" ref="B12">_xll.FDS(A12,"FG_COMPANY_NAME")</f>
        <v>Automatic Data Processing, Inc.</v>
      </c>
      <c r="C12" t="s">
        <v>512</v>
      </c>
      <c r="D12" s="2" cm="1">
        <f t="array" ref="D12">_xll.FDS(A12,"JULIAN(FF_EPS(QTR_R,0).dates)")</f>
        <v>46022</v>
      </c>
      <c r="E12" cm="1">
        <f t="array" ref="E12">_xll.FDS(A12,"FF_EPS(QTR_R,0)")</f>
        <v>2.6242000000000001</v>
      </c>
      <c r="F12" cm="1">
        <f t="array" ref="F12">_xll.FDS(A12,"FE_ESTIMATE(EPS,MEAN,QTR_ROLL,-0,0,,,'')")</f>
        <v>2.62</v>
      </c>
    </row>
    <row r="13" spans="1:7" x14ac:dyDescent="0.45">
      <c r="A13" t="s">
        <v>11</v>
      </c>
      <c r="B13" t="str" cm="1">
        <f t="array" ref="B13">_xll.FDS(A13,"FG_COMPANY_NAME")</f>
        <v>Autodesk, Inc.</v>
      </c>
      <c r="C13" t="s">
        <v>508</v>
      </c>
      <c r="D13" s="2" cm="1">
        <f t="array" ref="D13">_xll.FDS(A13,"JULIAN(FF_EPS(QTR_R,0).dates)")</f>
        <v>46052</v>
      </c>
      <c r="E13" cm="1">
        <f t="array" ref="E13">_xll.FDS(A13,"FF_EPS(QTR_R,0)")</f>
        <v>1.4765999999999999</v>
      </c>
      <c r="F13" cm="1">
        <f t="array" ref="F13">_xll.FDS(A13,"FE_ESTIMATE(EPS,MEAN,QTR_ROLL,-0,0,,,'')")</f>
        <v>2.85</v>
      </c>
    </row>
    <row r="14" spans="1:7" x14ac:dyDescent="0.45">
      <c r="A14" t="s">
        <v>12</v>
      </c>
      <c r="B14" t="str" cm="1">
        <f t="array" ref="B14">_xll.FDS(A14,"FG_COMPANY_NAME")</f>
        <v>Ameren Corporation</v>
      </c>
      <c r="C14" t="s">
        <v>505</v>
      </c>
      <c r="D14" s="2" cm="1">
        <f t="array" ref="D14">_xll.FDS(A14,"JULIAN(FF_EPS(QTR_R,0).dates)")</f>
        <v>46022</v>
      </c>
      <c r="E14" cm="1">
        <f t="array" ref="E14">_xll.FDS(A14,"FF_EPS(QTR_R,0)")</f>
        <v>0.92069999999999996</v>
      </c>
      <c r="F14" cm="1">
        <f t="array" ref="F14">_xll.FDS(A14,"FE_ESTIMATE(EPS,MEAN,QTR_ROLL,-0,0,,,'')")</f>
        <v>0.78</v>
      </c>
    </row>
    <row r="15" spans="1:7" x14ac:dyDescent="0.45">
      <c r="A15" t="s">
        <v>13</v>
      </c>
      <c r="B15" t="str" cm="1">
        <f t="array" ref="B15">_xll.FDS(A15,"FG_COMPANY_NAME")</f>
        <v>American Electric Power Company, Inc.</v>
      </c>
      <c r="C15" t="s">
        <v>505</v>
      </c>
      <c r="D15" s="2" cm="1">
        <f t="array" ref="D15">_xll.FDS(A15,"JULIAN(FF_EPS(QTR_R,0).dates)")</f>
        <v>46022</v>
      </c>
      <c r="E15" cm="1">
        <f t="array" ref="E15">_xll.FDS(A15,"FF_EPS(QTR_R,0)")</f>
        <v>1.0713999999999999</v>
      </c>
      <c r="F15" cm="1">
        <f t="array" ref="F15">_xll.FDS(A15,"FE_ESTIMATE(EPS,MEAN,QTR_ROLL,-0,0,,,'')")</f>
        <v>1.19</v>
      </c>
    </row>
    <row r="16" spans="1:7" x14ac:dyDescent="0.45">
      <c r="A16" t="s">
        <v>14</v>
      </c>
      <c r="B16" t="str" cm="1">
        <f t="array" ref="B16">_xll.FDS(A16,"FG_COMPANY_NAME")</f>
        <v>AES Corporation</v>
      </c>
      <c r="C16" t="s">
        <v>505</v>
      </c>
      <c r="D16" s="2" cm="1">
        <f t="array" ref="D16">_xll.FDS(A16,"JULIAN(FF_EPS(QTR_R,0).dates)")</f>
        <v>46022</v>
      </c>
      <c r="E16" cm="1">
        <f t="array" ref="E16">_xll.FDS(A16,"FF_EPS(QTR_R,0)")</f>
        <v>0.45910000000000001</v>
      </c>
      <c r="F16" cm="1">
        <f t="array" ref="F16">_xll.FDS(A16,"FE_ESTIMATE(EPS,MEAN,QTR_ROLL,-0,0,,,'')")</f>
        <v>0.81</v>
      </c>
    </row>
    <row r="17" spans="1:6" x14ac:dyDescent="0.45">
      <c r="A17" t="s">
        <v>15</v>
      </c>
      <c r="B17" t="str" cm="1">
        <f t="array" ref="B17">_xll.FDS(A17,"FG_COMPANY_NAME")</f>
        <v>Aflac Incorporated</v>
      </c>
      <c r="C17" t="s">
        <v>510</v>
      </c>
      <c r="D17" s="2" cm="1">
        <f t="array" ref="D17">_xll.FDS(A17,"JULIAN(FF_EPS(QTR_R,0).dates)")</f>
        <v>46022</v>
      </c>
      <c r="E17" cm="1">
        <f t="array" ref="E17">_xll.FDS(A17,"FF_EPS(QTR_R,0)")</f>
        <v>2.6393</v>
      </c>
      <c r="F17" cm="1">
        <f t="array" ref="F17">_xll.FDS(A17,"FE_ESTIMATE(EPS,MEAN,QTR_ROLL,-0,0,,,'')")</f>
        <v>1.57</v>
      </c>
    </row>
    <row r="18" spans="1:6" x14ac:dyDescent="0.45">
      <c r="A18" t="s">
        <v>16</v>
      </c>
      <c r="B18" t="str" cm="1">
        <f t="array" ref="B18">_xll.FDS(A18,"FG_COMPANY_NAME")</f>
        <v>American International Group, Inc.</v>
      </c>
      <c r="C18" t="s">
        <v>510</v>
      </c>
      <c r="D18" s="2" cm="1">
        <f t="array" ref="D18">_xll.FDS(A18,"JULIAN(FF_EPS(QTR_R,0).dates)")</f>
        <v>46022</v>
      </c>
      <c r="E18" cm="1">
        <f t="array" ref="E18">_xll.FDS(A18,"FF_EPS(QTR_R,0)")</f>
        <v>1.3452</v>
      </c>
      <c r="F18" cm="1">
        <f t="array" ref="F18">_xll.FDS(A18,"FE_ESTIMATE(EPS,MEAN,QTR_ROLL,-0,0,,,'')")</f>
        <v>1.96</v>
      </c>
    </row>
    <row r="19" spans="1:6" x14ac:dyDescent="0.45">
      <c r="A19" t="s">
        <v>17</v>
      </c>
      <c r="B19" t="str" cm="1">
        <f t="array" ref="B19">_xll.FDS(A19,"FG_COMPANY_NAME")</f>
        <v>Assurant, Inc.</v>
      </c>
      <c r="C19" t="s">
        <v>510</v>
      </c>
      <c r="D19" s="2" cm="1">
        <f t="array" ref="D19">_xll.FDS(A19,"JULIAN(FF_EPS(QTR_R,0).dates)")</f>
        <v>46022</v>
      </c>
      <c r="E19" cm="1">
        <f t="array" ref="E19">_xll.FDS(A19,"FF_EPS(QTR_R,0)")</f>
        <v>4.4447999999999999</v>
      </c>
      <c r="F19" cm="1">
        <f t="array" ref="F19">_xll.FDS(A19,"FE_ESTIMATE(EPS,MEAN,QTR_ROLL,-0,0,,,'')")</f>
        <v>5.61</v>
      </c>
    </row>
    <row r="20" spans="1:6" x14ac:dyDescent="0.45">
      <c r="A20" t="s">
        <v>18</v>
      </c>
      <c r="B20" t="str" cm="1">
        <f t="array" ref="B20">_xll.FDS(A20,"FG_COMPANY_NAME")</f>
        <v>Arthur J. Gallagher &amp; Co.</v>
      </c>
      <c r="C20" t="s">
        <v>510</v>
      </c>
      <c r="D20" s="2" cm="1">
        <f t="array" ref="D20">_xll.FDS(A20,"JULIAN(FF_EPS(QTR_R,0).dates)")</f>
        <v>46022</v>
      </c>
      <c r="E20" cm="1">
        <f t="array" ref="E20">_xll.FDS(A20,"FF_EPS(QTR_R,0)")</f>
        <v>0.58020000000000005</v>
      </c>
      <c r="F20" cm="1">
        <f t="array" ref="F20">_xll.FDS(A20,"FE_ESTIMATE(EPS,MEAN,QTR_ROLL,-0,0,,,'')")</f>
        <v>2.38</v>
      </c>
    </row>
    <row r="21" spans="1:6" x14ac:dyDescent="0.45">
      <c r="A21" t="s">
        <v>19</v>
      </c>
      <c r="B21" t="str" cm="1">
        <f t="array" ref="B21">_xll.FDS(A21,"FG_COMPANY_NAME")</f>
        <v>Akamai Technologies, Inc.</v>
      </c>
      <c r="C21" t="s">
        <v>508</v>
      </c>
      <c r="D21" s="2" cm="1">
        <f t="array" ref="D21">_xll.FDS(A21,"JULIAN(FF_EPS(QTR_R,0).dates)")</f>
        <v>46022</v>
      </c>
      <c r="E21" cm="1">
        <f t="array" ref="E21">_xll.FDS(A21,"FF_EPS(QTR_R,0)")</f>
        <v>0.57879999999999998</v>
      </c>
      <c r="F21" cm="1">
        <f t="array" ref="F21">_xll.FDS(A21,"FE_ESTIMATE(EPS,MEAN,QTR_ROLL,-0,0,,,'')")</f>
        <v>1.84</v>
      </c>
    </row>
    <row r="22" spans="1:6" x14ac:dyDescent="0.45">
      <c r="A22" t="s">
        <v>20</v>
      </c>
      <c r="B22" t="str" cm="1">
        <f t="array" ref="B22">_xll.FDS(A22,"FG_COMPANY_NAME")</f>
        <v>Albemarle Corporation</v>
      </c>
      <c r="C22" t="s">
        <v>513</v>
      </c>
      <c r="D22" s="2" cm="1">
        <f t="array" ref="D22">_xll.FDS(A22,"JULIAN(FF_EPS(QTR_R,0).dates)")</f>
        <v>46022</v>
      </c>
      <c r="E22" cm="1">
        <f t="array" ref="E22">_xll.FDS(A22,"FF_EPS(QTR_R,0)")</f>
        <v>-3.8731</v>
      </c>
      <c r="F22" cm="1">
        <f t="array" ref="F22">_xll.FDS(A22,"FE_ESTIMATE(EPS,MEAN,QTR_ROLL,-0,0,,,'')")</f>
        <v>-0.53</v>
      </c>
    </row>
    <row r="23" spans="1:6" x14ac:dyDescent="0.45">
      <c r="A23" t="s">
        <v>21</v>
      </c>
      <c r="B23" t="str" cm="1">
        <f t="array" ref="B23">_xll.FDS(A23,"FG_COMPANY_NAME")</f>
        <v>Align Technology, Inc.</v>
      </c>
      <c r="C23" t="s">
        <v>507</v>
      </c>
      <c r="D23" s="2" cm="1">
        <f t="array" ref="D23">_xll.FDS(A23,"JULIAN(FF_EPS(QTR_R,0).dates)")</f>
        <v>46022</v>
      </c>
      <c r="E23" cm="1">
        <f t="array" ref="E23">_xll.FDS(A23,"FF_EPS(QTR_R,0)")</f>
        <v>1.8918999999999999</v>
      </c>
      <c r="F23" cm="1">
        <f t="array" ref="F23">_xll.FDS(A23,"FE_ESTIMATE(EPS,MEAN,QTR_ROLL,-0,0,,,'')")</f>
        <v>3.29</v>
      </c>
    </row>
    <row r="24" spans="1:6" x14ac:dyDescent="0.45">
      <c r="A24" t="s">
        <v>22</v>
      </c>
      <c r="B24" t="str" cm="1">
        <f t="array" ref="B24">_xll.FDS(A24,"FG_COMPANY_NAME")</f>
        <v>Allstate Corporation</v>
      </c>
      <c r="C24" t="s">
        <v>510</v>
      </c>
      <c r="D24" s="2" cm="1">
        <f t="array" ref="D24">_xll.FDS(A24,"JULIAN(FF_EPS(QTR_R,0).dates)")</f>
        <v>46022</v>
      </c>
      <c r="E24" cm="1">
        <f t="array" ref="E24">_xll.FDS(A24,"FF_EPS(QTR_R,0)")</f>
        <v>14.3672</v>
      </c>
      <c r="F24" cm="1">
        <f t="array" ref="F24">_xll.FDS(A24,"FE_ESTIMATE(EPS,MEAN,QTR_ROLL,-0,0,,,'')")</f>
        <v>14.31</v>
      </c>
    </row>
    <row r="25" spans="1:6" x14ac:dyDescent="0.45">
      <c r="A25" t="s">
        <v>23</v>
      </c>
      <c r="B25" t="str" cm="1">
        <f t="array" ref="B25">_xll.FDS(A25,"FG_COMPANY_NAME")</f>
        <v>Allegion Public Limited Company</v>
      </c>
      <c r="C25" t="s">
        <v>512</v>
      </c>
      <c r="D25" s="2" cm="1">
        <f t="array" ref="D25">_xll.FDS(A25,"JULIAN(FF_EPS(QTR_R,0).dates)")</f>
        <v>46022</v>
      </c>
      <c r="E25" cm="1">
        <f t="array" ref="E25">_xll.FDS(A25,"FF_EPS(QTR_R,0)")</f>
        <v>1.7032</v>
      </c>
      <c r="F25" cm="1">
        <f t="array" ref="F25">_xll.FDS(A25,"FE_ESTIMATE(EPS,MEAN,QTR_ROLL,-0,0,,,'')")</f>
        <v>1.94</v>
      </c>
    </row>
    <row r="26" spans="1:6" x14ac:dyDescent="0.45">
      <c r="A26" t="s">
        <v>24</v>
      </c>
      <c r="B26" t="str" cm="1">
        <f t="array" ref="B26">_xll.FDS(A26,"FG_COMPANY_NAME")</f>
        <v>Applied Materials, Inc.</v>
      </c>
      <c r="C26" t="s">
        <v>508</v>
      </c>
      <c r="D26" s="2" cm="1">
        <f t="array" ref="D26">_xll.FDS(A26,"JULIAN(FF_EPS(QTR_R,0).dates)")</f>
        <v>46052</v>
      </c>
      <c r="E26" cm="1">
        <f t="array" ref="E26">_xll.FDS(A26,"FF_EPS(QTR_R,0)")</f>
        <v>2.5356999999999998</v>
      </c>
      <c r="F26" cm="1">
        <f t="array" ref="F26">_xll.FDS(A26,"FE_ESTIMATE(EPS,MEAN,QTR_ROLL,-0,0,,,'')")</f>
        <v>2.38</v>
      </c>
    </row>
    <row r="27" spans="1:6" x14ac:dyDescent="0.45">
      <c r="A27" t="s">
        <v>25</v>
      </c>
      <c r="B27" t="str" cm="1">
        <f t="array" ref="B27">_xll.FDS(A27,"FG_COMPANY_NAME")</f>
        <v>Amcor PLC</v>
      </c>
      <c r="C27" t="s">
        <v>513</v>
      </c>
      <c r="D27" s="2" cm="1">
        <f t="array" ref="D27">_xll.FDS(A27,"JULIAN(FF_EPS(QTR_R,0).dates)")</f>
        <v>46022</v>
      </c>
      <c r="E27" cm="1">
        <f t="array" ref="E27">_xll.FDS(A27,"FF_EPS(QTR_R,0)")</f>
        <v>0.38159999999999999</v>
      </c>
      <c r="F27" cm="1">
        <f t="array" ref="F27">_xll.FDS(A27,"FE_ESTIMATE(EPS,MEAN,QTR_ROLL,-0,0,,,'')")</f>
        <v>0.86</v>
      </c>
    </row>
    <row r="28" spans="1:6" x14ac:dyDescent="0.45">
      <c r="A28" t="s">
        <v>26</v>
      </c>
      <c r="B28" t="str" cm="1">
        <f t="array" ref="B28">_xll.FDS(A28,"FG_COMPANY_NAME")</f>
        <v>Advanced Micro Devices, Inc.</v>
      </c>
      <c r="C28" t="s">
        <v>508</v>
      </c>
      <c r="D28" s="2" cm="1">
        <f t="array" ref="D28">_xll.FDS(A28,"JULIAN(FF_EPS(QTR_R,0).dates)")</f>
        <v>46022</v>
      </c>
      <c r="E28" cm="1">
        <f t="array" ref="E28">_xll.FDS(A28,"FF_EPS(QTR_R,0)")</f>
        <v>0.9163</v>
      </c>
      <c r="F28" cm="1">
        <f t="array" ref="F28">_xll.FDS(A28,"FE_ESTIMATE(EPS,MEAN,QTR_ROLL,-0,0,,,'')")</f>
        <v>1.53</v>
      </c>
    </row>
    <row r="29" spans="1:6" x14ac:dyDescent="0.45">
      <c r="A29" t="s">
        <v>27</v>
      </c>
      <c r="B29" t="str" cm="1">
        <f t="array" ref="B29">_xll.FDS(A29,"FG_COMPANY_NAME")</f>
        <v>AMETEK, Inc.</v>
      </c>
      <c r="C29" t="s">
        <v>512</v>
      </c>
      <c r="D29" s="2" cm="1">
        <f t="array" ref="D29">_xll.FDS(A29,"JULIAN(FF_EPS(QTR_R,0).dates)")</f>
        <v>46022</v>
      </c>
      <c r="E29" cm="1">
        <f t="array" ref="E29">_xll.FDS(A29,"FF_EPS(QTR_R,0)")</f>
        <v>1.7303999999999999</v>
      </c>
      <c r="F29" cm="1">
        <f t="array" ref="F29">_xll.FDS(A29,"FE_ESTIMATE(EPS,MEAN,QTR_ROLL,-0,0,,,'')")</f>
        <v>2.0099999999999998</v>
      </c>
    </row>
    <row r="30" spans="1:6" x14ac:dyDescent="0.45">
      <c r="A30" t="s">
        <v>28</v>
      </c>
      <c r="B30" t="str" cm="1">
        <f t="array" ref="B30">_xll.FDS(A30,"FG_COMPANY_NAME")</f>
        <v>Amgen Inc.</v>
      </c>
      <c r="C30" t="s">
        <v>507</v>
      </c>
      <c r="D30" s="2" cm="1">
        <f t="array" ref="D30">_xll.FDS(A30,"JULIAN(FF_EPS(QTR_R,0).dates)")</f>
        <v>46022</v>
      </c>
      <c r="E30" cm="1">
        <f t="array" ref="E30">_xll.FDS(A30,"FF_EPS(QTR_R,0)")</f>
        <v>2.4548999999999999</v>
      </c>
      <c r="F30" cm="1">
        <f t="array" ref="F30">_xll.FDS(A30,"FE_ESTIMATE(EPS,MEAN,QTR_ROLL,-0,0,,,'')")</f>
        <v>5.29</v>
      </c>
    </row>
    <row r="31" spans="1:6" x14ac:dyDescent="0.45">
      <c r="A31" t="s">
        <v>29</v>
      </c>
      <c r="B31" t="str" cm="1">
        <f t="array" ref="B31">_xll.FDS(A31,"FG_COMPANY_NAME")</f>
        <v>Ameriprise Financial, Inc.</v>
      </c>
      <c r="C31" t="s">
        <v>510</v>
      </c>
      <c r="D31" s="2" cm="1">
        <f t="array" ref="D31">_xll.FDS(A31,"JULIAN(FF_EPS(QTR_R,0).dates)")</f>
        <v>46022</v>
      </c>
      <c r="E31" cm="1">
        <f t="array" ref="E31">_xll.FDS(A31,"FF_EPS(QTR_R,0)")</f>
        <v>10.4673</v>
      </c>
      <c r="F31" cm="1">
        <f t="array" ref="F31">_xll.FDS(A31,"FE_ESTIMATE(EPS,MEAN,QTR_ROLL,-0,0,,,'')")</f>
        <v>10.83</v>
      </c>
    </row>
    <row r="32" spans="1:6" x14ac:dyDescent="0.45">
      <c r="A32" t="s">
        <v>30</v>
      </c>
      <c r="B32" t="str" cm="1">
        <f t="array" ref="B32">_xll.FDS(A32,"FG_COMPANY_NAME")</f>
        <v>American Tower Corporation</v>
      </c>
      <c r="C32" t="s">
        <v>514</v>
      </c>
      <c r="D32" s="2" cm="1">
        <f t="array" ref="D32">_xll.FDS(A32,"JULIAN(FF_EPS(QTR_R,0).dates)")</f>
        <v>46022</v>
      </c>
      <c r="E32" cm="1">
        <f t="array" ref="E32">_xll.FDS(A32,"FF_EPS(QTR_R,0)")</f>
        <v>1.752</v>
      </c>
      <c r="F32" cm="1">
        <f t="array" ref="F32">_xll.FDS(A32,"FE_ESTIMATE(EPS,MEAN,QTR_ROLL,-0,0,,,'')")</f>
        <v>1.75</v>
      </c>
    </row>
    <row r="33" spans="1:6" x14ac:dyDescent="0.45">
      <c r="A33" t="s">
        <v>31</v>
      </c>
      <c r="B33" t="str" cm="1">
        <f t="array" ref="B33">_xll.FDS(A33,"FG_COMPANY_NAME")</f>
        <v>Amazon.com, Inc.</v>
      </c>
      <c r="C33" t="s">
        <v>509</v>
      </c>
      <c r="D33" s="2" cm="1">
        <f t="array" ref="D33">_xll.FDS(A33,"JULIAN(FF_EPS(QTR_R,0).dates)")</f>
        <v>46022</v>
      </c>
      <c r="E33" cm="1">
        <f t="array" ref="E33">_xll.FDS(A33,"FF_EPS(QTR_R,0)")</f>
        <v>1.9508000000000001</v>
      </c>
      <c r="F33" cm="1">
        <f t="array" ref="F33">_xll.FDS(A33,"FE_ESTIMATE(EPS,MEAN,QTR_ROLL,-0,0,,,'')")</f>
        <v>1.95</v>
      </c>
    </row>
    <row r="34" spans="1:6" x14ac:dyDescent="0.45">
      <c r="A34" t="s">
        <v>32</v>
      </c>
      <c r="B34" t="str" cm="1">
        <f t="array" ref="B34">_xll.FDS(A34,"FG_COMPANY_NAME")</f>
        <v>Arista Networks, Inc.</v>
      </c>
      <c r="C34" t="s">
        <v>508</v>
      </c>
      <c r="D34" s="2" cm="1">
        <f t="array" ref="D34">_xll.FDS(A34,"JULIAN(FF_EPS(QTR_R,0).dates)")</f>
        <v>46022</v>
      </c>
      <c r="E34" cm="1">
        <f t="array" ref="E34">_xll.FDS(A34,"FF_EPS(QTR_R,0)")</f>
        <v>0.75</v>
      </c>
      <c r="F34" cm="1">
        <f t="array" ref="F34">_xll.FDS(A34,"FE_ESTIMATE(EPS,MEAN,QTR_ROLL,-0,0,,,'')")</f>
        <v>0.82</v>
      </c>
    </row>
    <row r="35" spans="1:6" x14ac:dyDescent="0.45">
      <c r="A35" t="s">
        <v>33</v>
      </c>
      <c r="B35" t="str" cm="1">
        <f t="array" ref="B35">_xll.FDS(A35,"FG_COMPANY_NAME")</f>
        <v>ANSYS, Inc.</v>
      </c>
      <c r="C35" t="s">
        <v>508</v>
      </c>
      <c r="D35" s="2" cm="1">
        <f t="array" ref="D35">_xll.FDS(A35,"JULIAN(FF_EPS(QTR_R,0).dates)")</f>
        <v>45747</v>
      </c>
      <c r="E35" cm="1">
        <f t="array" ref="E35">_xll.FDS(A35,"FF_EPS(QTR_R,0)")</f>
        <v>0.58850000000000002</v>
      </c>
      <c r="F35" t="e" cm="1">
        <f t="array" ref="F35">_xll.FDS(A35,"FE_ESTIMATE(EPS,MEAN,QTR_ROLL,-0,0,,,'')")</f>
        <v>#N/A</v>
      </c>
    </row>
    <row r="36" spans="1:6" x14ac:dyDescent="0.45">
      <c r="A36" t="s">
        <v>34</v>
      </c>
      <c r="B36" t="str" cm="1">
        <f t="array" ref="B36">_xll.FDS(A36,"FG_COMPANY_NAME")</f>
        <v>Aon Plc Class A</v>
      </c>
      <c r="C36" t="s">
        <v>510</v>
      </c>
      <c r="D36" s="2" cm="1">
        <f t="array" ref="D36">_xll.FDS(A36,"JULIAN(FF_EPS(QTR_R,0).dates)")</f>
        <v>46022</v>
      </c>
      <c r="E36" cm="1">
        <f t="array" ref="E36">_xll.FDS(A36,"FF_EPS(QTR_R,0)")</f>
        <v>7.8198999999999996</v>
      </c>
      <c r="F36" cm="1">
        <f t="array" ref="F36">_xll.FDS(A36,"FE_ESTIMATE(EPS,MEAN,QTR_ROLL,-0,0,,,'')")</f>
        <v>4.8499999999999996</v>
      </c>
    </row>
    <row r="37" spans="1:6" x14ac:dyDescent="0.45">
      <c r="A37" t="s">
        <v>35</v>
      </c>
      <c r="B37" t="str" cm="1">
        <f t="array" ref="B37">_xll.FDS(A37,"FG_COMPANY_NAME")</f>
        <v>A. O. Smith Corporation</v>
      </c>
      <c r="C37" t="s">
        <v>512</v>
      </c>
      <c r="D37" s="2" cm="1">
        <f t="array" ref="D37">_xll.FDS(A37,"JULIAN(FF_EPS(QTR_R,0).dates)")</f>
        <v>46022</v>
      </c>
      <c r="E37" cm="1">
        <f t="array" ref="E37">_xll.FDS(A37,"FF_EPS(QTR_R,0)")</f>
        <v>0.89610000000000001</v>
      </c>
      <c r="F37" cm="1">
        <f t="array" ref="F37">_xll.FDS(A37,"FE_ESTIMATE(EPS,MEAN,QTR_ROLL,-0,0,,,'')")</f>
        <v>0.9</v>
      </c>
    </row>
    <row r="38" spans="1:6" x14ac:dyDescent="0.45">
      <c r="A38" t="s">
        <v>36</v>
      </c>
      <c r="B38" t="str" cm="1">
        <f t="array" ref="B38">_xll.FDS(A38,"FG_COMPANY_NAME")</f>
        <v>APA Corporation</v>
      </c>
      <c r="C38" t="s">
        <v>515</v>
      </c>
      <c r="D38" s="2" cm="1">
        <f t="array" ref="D38">_xll.FDS(A38,"JULIAN(FF_EPS(QTR_R,0).dates)")</f>
        <v>46022</v>
      </c>
      <c r="E38" cm="1">
        <f t="array" ref="E38">_xll.FDS(A38,"FF_EPS(QTR_R,0)")</f>
        <v>0.78590000000000004</v>
      </c>
      <c r="F38" cm="1">
        <f t="array" ref="F38">_xll.FDS(A38,"FE_ESTIMATE(EPS,MEAN,QTR_ROLL,-0,0,,,'')")</f>
        <v>0.91</v>
      </c>
    </row>
    <row r="39" spans="1:6" x14ac:dyDescent="0.45">
      <c r="A39" t="s">
        <v>37</v>
      </c>
      <c r="B39" t="str" cm="1">
        <f t="array" ref="B39">_xll.FDS(A39,"FG_COMPANY_NAME")</f>
        <v>Air Products and Chemicals, Inc.</v>
      </c>
      <c r="C39" t="s">
        <v>513</v>
      </c>
      <c r="D39" s="2" cm="1">
        <f t="array" ref="D39">_xll.FDS(A39,"JULIAN(FF_EPS(QTR_R,0).dates)")</f>
        <v>46022</v>
      </c>
      <c r="E39" cm="1">
        <f t="array" ref="E39">_xll.FDS(A39,"FF_EPS(QTR_R,0)")</f>
        <v>3.0426000000000002</v>
      </c>
      <c r="F39" cm="1">
        <f t="array" ref="F39">_xll.FDS(A39,"FE_ESTIMATE(EPS,MEAN,QTR_ROLL,-0,0,,,'')")</f>
        <v>3.16</v>
      </c>
    </row>
    <row r="40" spans="1:6" x14ac:dyDescent="0.45">
      <c r="A40" t="s">
        <v>38</v>
      </c>
      <c r="B40" t="str" cm="1">
        <f t="array" ref="B40">_xll.FDS(A40,"FG_COMPANY_NAME")</f>
        <v>Amphenol Corporation Class A</v>
      </c>
      <c r="C40" t="s">
        <v>508</v>
      </c>
      <c r="D40" s="2" cm="1">
        <f t="array" ref="D40">_xll.FDS(A40,"JULIAN(FF_EPS(QTR_R,0).dates)")</f>
        <v>46022</v>
      </c>
      <c r="E40" cm="1">
        <f t="array" ref="E40">_xll.FDS(A40,"FF_EPS(QTR_R,0)")</f>
        <v>0.92769999999999997</v>
      </c>
      <c r="F40" cm="1">
        <f t="array" ref="F40">_xll.FDS(A40,"FE_ESTIMATE(EPS,MEAN,QTR_ROLL,-0,0,,,'')")</f>
        <v>0.97</v>
      </c>
    </row>
    <row r="41" spans="1:6" x14ac:dyDescent="0.45">
      <c r="A41" t="s">
        <v>39</v>
      </c>
      <c r="B41" t="str" cm="1">
        <f t="array" ref="B41">_xll.FDS(A41,"FG_COMPANY_NAME")</f>
        <v>Aptiv PLC</v>
      </c>
      <c r="C41" t="s">
        <v>509</v>
      </c>
      <c r="D41" s="2" cm="1">
        <f t="array" ref="D41">_xll.FDS(A41,"JULIAN(FF_EPS(QTR_R,0).dates)")</f>
        <v>46022</v>
      </c>
      <c r="E41" cm="1">
        <f t="array" ref="E41">_xll.FDS(A41,"FF_EPS(QTR_R,0)")</f>
        <v>0.63849999999999996</v>
      </c>
      <c r="F41" cm="1">
        <f t="array" ref="F41">_xll.FDS(A41,"FE_ESTIMATE(EPS,MEAN,QTR_ROLL,-0,0,,,'')")</f>
        <v>1.86</v>
      </c>
    </row>
    <row r="42" spans="1:6" x14ac:dyDescent="0.45">
      <c r="A42" t="s">
        <v>40</v>
      </c>
      <c r="B42" t="str" cm="1">
        <f t="array" ref="B42">_xll.FDS(A42,"FG_COMPANY_NAME")</f>
        <v>Alexandria Real Estate Equities, Inc.</v>
      </c>
      <c r="C42" t="s">
        <v>514</v>
      </c>
      <c r="D42" s="2" cm="1">
        <f t="array" ref="D42">_xll.FDS(A42,"JULIAN(FF_EPS(QTR_R,0).dates)")</f>
        <v>46022</v>
      </c>
      <c r="E42" cm="1">
        <f t="array" ref="E42">_xll.FDS(A42,"FF_EPS(QTR_R,0)")</f>
        <v>-6.3490000000000002</v>
      </c>
      <c r="F42" cm="1">
        <f t="array" ref="F42">_xll.FDS(A42,"FE_ESTIMATE(EPS,MEAN,QTR_ROLL,-0,0,,,'')")</f>
        <v>-6.35</v>
      </c>
    </row>
    <row r="43" spans="1:6" x14ac:dyDescent="0.45">
      <c r="A43" t="s">
        <v>41</v>
      </c>
      <c r="B43" t="str" cm="1">
        <f t="array" ref="B43">_xll.FDS(A43,"FG_COMPANY_NAME")</f>
        <v>Atmos Energy Corporation</v>
      </c>
      <c r="C43" t="s">
        <v>505</v>
      </c>
      <c r="D43" s="2" cm="1">
        <f t="array" ref="D43">_xll.FDS(A43,"JULIAN(FF_EPS(QTR_R,0).dates)")</f>
        <v>46022</v>
      </c>
      <c r="E43" cm="1">
        <f t="array" ref="E43">_xll.FDS(A43,"FF_EPS(QTR_R,0)")</f>
        <v>2.4432999999999998</v>
      </c>
      <c r="F43" cm="1">
        <f t="array" ref="F43">_xll.FDS(A43,"FE_ESTIMATE(EPS,MEAN,QTR_ROLL,-0,0,,,'')")</f>
        <v>2.44</v>
      </c>
    </row>
    <row r="44" spans="1:6" x14ac:dyDescent="0.45">
      <c r="A44" t="s">
        <v>42</v>
      </c>
      <c r="B44" t="str" cm="1">
        <f t="array" ref="B44">_xll.FDS(A44,"FG_COMPANY_NAME")</f>
        <v>Activision Blizzard, Inc.</v>
      </c>
      <c r="C44" t="s">
        <v>516</v>
      </c>
      <c r="D44" s="2" cm="1">
        <f t="array" ref="D44">_xll.FDS(A44,"JULIAN(FF_EPS(QTR_R,0).dates)")</f>
        <v>45107</v>
      </c>
      <c r="E44" cm="1">
        <f t="array" ref="E44">_xll.FDS(A44,"FF_EPS(QTR_R,0)")</f>
        <v>0.73929999999999996</v>
      </c>
      <c r="F44" t="e" cm="1">
        <f t="array" ref="F44">_xll.FDS(A44,"FE_ESTIMATE(EPS,MEAN,QTR_ROLL,-0,0,,,'')")</f>
        <v>#N/A</v>
      </c>
    </row>
    <row r="45" spans="1:6" x14ac:dyDescent="0.45">
      <c r="A45" t="s">
        <v>43</v>
      </c>
      <c r="B45" t="str" cm="1">
        <f t="array" ref="B45">_xll.FDS(A45,"FG_COMPANY_NAME")</f>
        <v>AvalonBay Communities, Inc.</v>
      </c>
      <c r="C45" t="s">
        <v>514</v>
      </c>
      <c r="D45" s="2" cm="1">
        <f t="array" ref="D45">_xll.FDS(A45,"JULIAN(FF_EPS(QTR_R,0).dates)")</f>
        <v>46022</v>
      </c>
      <c r="E45" cm="1">
        <f t="array" ref="E45">_xll.FDS(A45,"FF_EPS(QTR_R,0)")</f>
        <v>1.1675</v>
      </c>
      <c r="F45" cm="1">
        <f t="array" ref="F45">_xll.FDS(A45,"FE_ESTIMATE(EPS,MEAN,QTR_ROLL,-0,0,,,'')")</f>
        <v>1.17</v>
      </c>
    </row>
    <row r="46" spans="1:6" x14ac:dyDescent="0.45">
      <c r="A46" t="s">
        <v>44</v>
      </c>
      <c r="B46" t="str" cm="1">
        <f t="array" ref="B46">_xll.FDS(A46,"FG_COMPANY_NAME")</f>
        <v>Broadcom Inc.</v>
      </c>
      <c r="C46" t="s">
        <v>508</v>
      </c>
      <c r="D46" s="2" cm="1">
        <f t="array" ref="D46">_xll.FDS(A46,"JULIAN(FF_EPS(QTR_R,0).dates)")</f>
        <v>46052</v>
      </c>
      <c r="E46" cm="1">
        <f t="array" ref="E46">_xll.FDS(A46,"FF_EPS(QTR_R,0)")</f>
        <v>1.5035000000000001</v>
      </c>
      <c r="F46" cm="1">
        <f t="array" ref="F46">_xll.FDS(A46,"FE_ESTIMATE(EPS,MEAN,QTR_ROLL,-0,0,,,'')")</f>
        <v>2.0499999999999998</v>
      </c>
    </row>
    <row r="47" spans="1:6" x14ac:dyDescent="0.45">
      <c r="A47" t="s">
        <v>45</v>
      </c>
      <c r="B47" t="str" cm="1">
        <f t="array" ref="B47">_xll.FDS(A47,"FG_COMPANY_NAME")</f>
        <v>Avery Dennison Corporation</v>
      </c>
      <c r="C47" t="s">
        <v>513</v>
      </c>
      <c r="D47" s="2" cm="1">
        <f t="array" ref="D47">_xll.FDS(A47,"JULIAN(FF_EPS(QTR_R,0).dates)")</f>
        <v>46022</v>
      </c>
      <c r="E47" cm="1">
        <f t="array" ref="E47">_xll.FDS(A47,"FF_EPS(QTR_R,0)")</f>
        <v>2.1499000000000001</v>
      </c>
      <c r="F47" cm="1">
        <f t="array" ref="F47">_xll.FDS(A47,"FE_ESTIMATE(EPS,MEAN,QTR_ROLL,-0,0,,,'')")</f>
        <v>2.4500000000000002</v>
      </c>
    </row>
    <row r="48" spans="1:6" x14ac:dyDescent="0.45">
      <c r="A48" t="s">
        <v>46</v>
      </c>
      <c r="B48" t="str" cm="1">
        <f t="array" ref="B48">_xll.FDS(A48,"FG_COMPANY_NAME")</f>
        <v>American Water Works Company, Inc.</v>
      </c>
      <c r="C48" t="s">
        <v>505</v>
      </c>
      <c r="D48" s="2" cm="1">
        <f t="array" ref="D48">_xll.FDS(A48,"JULIAN(FF_EPS(QTR_R,0).dates)")</f>
        <v>46022</v>
      </c>
      <c r="E48" cm="1">
        <f t="array" ref="E48">_xll.FDS(A48,"FF_EPS(QTR_R,0)")</f>
        <v>1.2204999999999999</v>
      </c>
      <c r="F48" cm="1">
        <f t="array" ref="F48">_xll.FDS(A48,"FE_ESTIMATE(EPS,MEAN,QTR_ROLL,-0,0,,,'')")</f>
        <v>1.22</v>
      </c>
    </row>
    <row r="49" spans="1:6" x14ac:dyDescent="0.45">
      <c r="A49" t="s">
        <v>47</v>
      </c>
      <c r="B49" t="str" cm="1">
        <f t="array" ref="B49">_xll.FDS(A49,"FG_COMPANY_NAME")</f>
        <v>American Express Company</v>
      </c>
      <c r="C49" t="s">
        <v>510</v>
      </c>
      <c r="D49" s="2" cm="1">
        <f t="array" ref="D49">_xll.FDS(A49,"JULIAN(FF_EPS(QTR_R,0).dates)")</f>
        <v>46022</v>
      </c>
      <c r="E49" cm="1">
        <f t="array" ref="E49">_xll.FDS(A49,"FF_EPS(QTR_R,0)")</f>
        <v>3.5305</v>
      </c>
      <c r="F49" cm="1">
        <f t="array" ref="F49">_xll.FDS(A49,"FE_ESTIMATE(EPS,MEAN,QTR_ROLL,-0,0,,,'')")</f>
        <v>3.53</v>
      </c>
    </row>
    <row r="50" spans="1:6" x14ac:dyDescent="0.45">
      <c r="A50" t="s">
        <v>48</v>
      </c>
      <c r="B50" t="str" cm="1">
        <f t="array" ref="B50">_xll.FDS(A50,"FG_COMPANY_NAME")</f>
        <v>AutoZone, Inc.</v>
      </c>
      <c r="C50" t="s">
        <v>509</v>
      </c>
      <c r="D50" s="2" cm="1">
        <f t="array" ref="D50">_xll.FDS(A50,"JULIAN(FF_EPS(QTR_R,0).dates)")</f>
        <v>46080</v>
      </c>
      <c r="E50" cm="1">
        <f t="array" ref="E50">_xll.FDS(A50,"FF_EPS(QTR_R,0)")</f>
        <v>27.630400000000002</v>
      </c>
      <c r="F50" cm="1">
        <f t="array" ref="F50">_xll.FDS(A50,"FE_ESTIMATE(EPS,MEAN,QTR_ROLL,-0,0,,,'')")</f>
        <v>27.63</v>
      </c>
    </row>
    <row r="51" spans="1:6" x14ac:dyDescent="0.45">
      <c r="A51" t="s">
        <v>49</v>
      </c>
      <c r="B51" t="str" cm="1">
        <f t="array" ref="B51">_xll.FDS(A51,"FG_COMPANY_NAME")</f>
        <v>Boeing Company</v>
      </c>
      <c r="C51" t="s">
        <v>512</v>
      </c>
      <c r="D51" s="2" cm="1">
        <f t="array" ref="D51">_xll.FDS(A51,"JULIAN(FF_EPS(QTR_R,0).dates)")</f>
        <v>46022</v>
      </c>
      <c r="E51" cm="1">
        <f t="array" ref="E51">_xll.FDS(A51,"FF_EPS(QTR_R,0)")</f>
        <v>10.1182</v>
      </c>
      <c r="F51" cm="1">
        <f t="array" ref="F51">_xll.FDS(A51,"FE_ESTIMATE(EPS,MEAN,QTR_ROLL,-0,0,,,'')")</f>
        <v>9.92</v>
      </c>
    </row>
    <row r="52" spans="1:6" x14ac:dyDescent="0.45">
      <c r="A52" t="s">
        <v>50</v>
      </c>
      <c r="B52" t="str" cm="1">
        <f t="array" ref="B52">_xll.FDS(A52,"FG_COMPANY_NAME")</f>
        <v>Bank of America Corp</v>
      </c>
      <c r="C52" t="s">
        <v>510</v>
      </c>
      <c r="D52" s="2" cm="1">
        <f t="array" ref="D52">_xll.FDS(A52,"JULIAN(FF_EPS(QTR_R,0).dates)")</f>
        <v>46022</v>
      </c>
      <c r="E52" cm="1">
        <f t="array" ref="E52">_xll.FDS(A52,"FF_EPS(QTR_R,0)")</f>
        <v>0.9698</v>
      </c>
      <c r="F52" cm="1">
        <f t="array" ref="F52">_xll.FDS(A52,"FE_ESTIMATE(EPS,MEAN,QTR_ROLL,-0,0,,,'')")</f>
        <v>0.98</v>
      </c>
    </row>
    <row r="53" spans="1:6" x14ac:dyDescent="0.45">
      <c r="A53" t="s">
        <v>51</v>
      </c>
      <c r="B53" t="str" cm="1">
        <f t="array" ref="B53">_xll.FDS(A53,"FG_COMPANY_NAME")</f>
        <v>Baxter International Inc.</v>
      </c>
      <c r="C53" t="s">
        <v>507</v>
      </c>
      <c r="D53" s="2" cm="1">
        <f t="array" ref="D53">_xll.FDS(A53,"JULIAN(FF_EPS(QTR_R,0).dates)")</f>
        <v>46022</v>
      </c>
      <c r="E53" cm="1">
        <f t="array" ref="E53">_xll.FDS(A53,"FF_EPS(QTR_R,0)")</f>
        <v>-2.1595</v>
      </c>
      <c r="F53" cm="1">
        <f t="array" ref="F53">_xll.FDS(A53,"FE_ESTIMATE(EPS,MEAN,QTR_ROLL,-0,0,,,'')")</f>
        <v>0.36</v>
      </c>
    </row>
    <row r="54" spans="1:6" x14ac:dyDescent="0.45">
      <c r="A54" t="s">
        <v>52</v>
      </c>
      <c r="B54" t="str" cm="1">
        <f t="array" ref="B54">_xll.FDS(A54,"FG_COMPANY_NAME")</f>
        <v>Bath &amp; Body Works, Inc.</v>
      </c>
      <c r="C54" t="s">
        <v>509</v>
      </c>
      <c r="D54" s="2" cm="1">
        <f t="array" ref="D54">_xll.FDS(A54,"JULIAN(FF_EPS(QTR_R,0).dates)")</f>
        <v>46052</v>
      </c>
      <c r="E54" cm="1">
        <f t="array" ref="E54">_xll.FDS(A54,"FF_EPS(QTR_R,0)")</f>
        <v>1.9852000000000001</v>
      </c>
      <c r="F54" cm="1">
        <f t="array" ref="F54">_xll.FDS(A54,"FE_ESTIMATE(EPS,MEAN,QTR_ROLL,-0,0,,,'')")</f>
        <v>2.0499999999999998</v>
      </c>
    </row>
    <row r="55" spans="1:6" x14ac:dyDescent="0.45">
      <c r="A55" t="s">
        <v>53</v>
      </c>
      <c r="B55" t="str" cm="1">
        <f t="array" ref="B55">_xll.FDS(A55,"FG_COMPANY_NAME")</f>
        <v>Best Buy Co., Inc.</v>
      </c>
      <c r="C55" t="s">
        <v>509</v>
      </c>
      <c r="D55" s="2" cm="1">
        <f t="array" ref="D55">_xll.FDS(A55,"JULIAN(FF_EPS(QTR_R,0).dates)")</f>
        <v>46052</v>
      </c>
      <c r="E55" cm="1">
        <f t="array" ref="E55">_xll.FDS(A55,"FF_EPS(QTR_R,0)")</f>
        <v>2.5615999999999999</v>
      </c>
      <c r="F55" cm="1">
        <f t="array" ref="F55">_xll.FDS(A55,"FE_ESTIMATE(EPS,MEAN,QTR_ROLL,-0,0,,,'')")</f>
        <v>2.61</v>
      </c>
    </row>
    <row r="56" spans="1:6" x14ac:dyDescent="0.45">
      <c r="A56" t="s">
        <v>54</v>
      </c>
      <c r="B56" t="str" cm="1">
        <f t="array" ref="B56">_xll.FDS(A56,"FG_COMPANY_NAME")</f>
        <v>Becton, Dickinson and Company</v>
      </c>
      <c r="C56" t="s">
        <v>507</v>
      </c>
      <c r="D56" s="2" cm="1">
        <f t="array" ref="D56">_xll.FDS(A56,"JULIAN(FF_EPS(QTR_R,0).dates)")</f>
        <v>46022</v>
      </c>
      <c r="E56" cm="1">
        <f t="array" ref="E56">_xll.FDS(A56,"FF_EPS(QTR_R,0)")</f>
        <v>1.3364</v>
      </c>
      <c r="F56" cm="1">
        <f t="array" ref="F56">_xll.FDS(A56,"FE_ESTIMATE(EPS,MEAN,QTR_ROLL,-0,0,,,'')")</f>
        <v>2.2868385</v>
      </c>
    </row>
    <row r="57" spans="1:6" x14ac:dyDescent="0.45">
      <c r="A57" t="s">
        <v>55</v>
      </c>
      <c r="B57" t="str" cm="1">
        <f t="array" ref="B57">_xll.FDS(A57,"FG_COMPANY_NAME")</f>
        <v>Franklin Resources, Inc.</v>
      </c>
      <c r="C57" t="s">
        <v>510</v>
      </c>
      <c r="D57" s="2" cm="1">
        <f t="array" ref="D57">_xll.FDS(A57,"JULIAN(FF_EPS(QTR_R,0).dates)")</f>
        <v>46022</v>
      </c>
      <c r="E57" cm="1">
        <f t="array" ref="E57">_xll.FDS(A57,"FF_EPS(QTR_R,0)")</f>
        <v>0.4617</v>
      </c>
      <c r="F57" cm="1">
        <f t="array" ref="F57">_xll.FDS(A57,"FE_ESTIMATE(EPS,MEAN,QTR_ROLL,-0,0,,,'')")</f>
        <v>0.7</v>
      </c>
    </row>
    <row r="58" spans="1:6" x14ac:dyDescent="0.45">
      <c r="A58" t="s">
        <v>56</v>
      </c>
      <c r="B58" t="str" cm="1">
        <f t="array" ref="B58">_xll.FDS(A58,"FG_COMPANY_NAME")</f>
        <v>Brown-Forman Corporation Class B</v>
      </c>
      <c r="C58" t="s">
        <v>511</v>
      </c>
      <c r="D58" s="2" cm="1">
        <f t="array" ref="D58">_xll.FDS(A58,"JULIAN(FF_EPS(QTR_R,0).dates)")</f>
        <v>46052</v>
      </c>
      <c r="E58" cm="1">
        <f t="array" ref="E58">_xll.FDS(A58,"FF_EPS(QTR_R,0)")</f>
        <v>0.57679999999999998</v>
      </c>
      <c r="F58" cm="1">
        <f t="array" ref="F58">_xll.FDS(A58,"FE_ESTIMATE(EPS,MEAN,QTR_ROLL,-0,0,,,'')")</f>
        <v>0.57999999999999996</v>
      </c>
    </row>
    <row r="59" spans="1:6" x14ac:dyDescent="0.45">
      <c r="A59" t="s">
        <v>57</v>
      </c>
      <c r="B59" t="str" cm="1">
        <f t="array" ref="B59">_xll.FDS(A59,"FG_COMPANY_NAME")</f>
        <v>Bunge Global SA</v>
      </c>
      <c r="C59" t="s">
        <v>511</v>
      </c>
      <c r="D59" s="2" cm="1">
        <f t="array" ref="D59">_xll.FDS(A59,"JULIAN(FF_EPS(QTR_R,0).dates)")</f>
        <v>46022</v>
      </c>
      <c r="E59" cm="1">
        <f t="array" ref="E59">_xll.FDS(A59,"FF_EPS(QTR_R,0)")</f>
        <v>0.48720000000000002</v>
      </c>
      <c r="F59" cm="1">
        <f t="array" ref="F59">_xll.FDS(A59,"FE_ESTIMATE(EPS,MEAN,QTR_ROLL,-0,0,,,'')")</f>
        <v>1.99</v>
      </c>
    </row>
    <row r="60" spans="1:6" x14ac:dyDescent="0.45">
      <c r="A60" t="s">
        <v>58</v>
      </c>
      <c r="B60" t="str" cm="1">
        <f t="array" ref="B60">_xll.FDS(A60,"FG_COMPANY_NAME")</f>
        <v>Biogen Inc.</v>
      </c>
      <c r="C60" t="s">
        <v>507</v>
      </c>
      <c r="D60" s="2" cm="1">
        <f t="array" ref="D60">_xll.FDS(A60,"JULIAN(FF_EPS(QTR_R,0).dates)")</f>
        <v>46022</v>
      </c>
      <c r="E60" cm="1">
        <f t="array" ref="E60">_xll.FDS(A60,"FF_EPS(QTR_R,0)")</f>
        <v>-0.33329999999999999</v>
      </c>
      <c r="F60" cm="1">
        <f t="array" ref="F60">_xll.FDS(A60,"FE_ESTIMATE(EPS,MEAN,QTR_ROLL,-0,0,,,'')")</f>
        <v>1.99</v>
      </c>
    </row>
    <row r="61" spans="1:6" x14ac:dyDescent="0.45">
      <c r="A61" t="s">
        <v>59</v>
      </c>
      <c r="B61" t="str" cm="1">
        <f t="array" ref="B61">_xll.FDS(A61,"FG_COMPANY_NAME")</f>
        <v>Bio-Rad Laboratories, Inc. Class A</v>
      </c>
      <c r="C61" t="s">
        <v>507</v>
      </c>
      <c r="D61" s="2" cm="1">
        <f t="array" ref="D61">_xll.FDS(A61,"JULIAN(FF_EPS(QTR_R,0).dates)")</f>
        <v>46022</v>
      </c>
      <c r="E61" cm="1">
        <f t="array" ref="E61">_xll.FDS(A61,"FF_EPS(QTR_R,0)")</f>
        <v>26.654800000000002</v>
      </c>
      <c r="F61" cm="1">
        <f t="array" ref="F61">_xll.FDS(A61,"FE_ESTIMATE(EPS,MEAN,QTR_ROLL,-0,0,,,'')")</f>
        <v>2.5099999999999998</v>
      </c>
    </row>
    <row r="62" spans="1:6" x14ac:dyDescent="0.45">
      <c r="A62" t="s">
        <v>60</v>
      </c>
      <c r="B62" t="str" cm="1">
        <f t="array" ref="B62">_xll.FDS(A62,"FG_COMPANY_NAME")</f>
        <v>Bank of New York Mellon Corp</v>
      </c>
      <c r="C62" t="s">
        <v>510</v>
      </c>
      <c r="D62" s="2" cm="1">
        <f t="array" ref="D62">_xll.FDS(A62,"JULIAN(FF_EPS(QTR_R,0).dates)")</f>
        <v>46022</v>
      </c>
      <c r="E62" cm="1">
        <f t="array" ref="E62">_xll.FDS(A62,"FF_EPS(QTR_R,0)")</f>
        <v>2.0236999999999998</v>
      </c>
      <c r="F62" cm="1">
        <f t="array" ref="F62">_xll.FDS(A62,"FE_ESTIMATE(EPS,MEAN,QTR_ROLL,-0,0,,,'')")</f>
        <v>2.02</v>
      </c>
    </row>
    <row r="63" spans="1:6" x14ac:dyDescent="0.45">
      <c r="A63" t="s">
        <v>61</v>
      </c>
      <c r="B63" t="str" cm="1">
        <f t="array" ref="B63">_xll.FDS(A63,"FG_COMPANY_NAME")</f>
        <v>Booking Holdings Inc.</v>
      </c>
      <c r="C63" t="s">
        <v>509</v>
      </c>
      <c r="D63" s="2" cm="1">
        <f t="array" ref="D63">_xll.FDS(A63,"JULIAN(FF_EPS(QTR_R,0).dates)")</f>
        <v>46022</v>
      </c>
      <c r="E63" cm="1">
        <f t="array" ref="E63">_xll.FDS(A63,"FF_EPS(QTR_R,0)")</f>
        <v>44.220100000000002</v>
      </c>
      <c r="F63" cm="1">
        <f t="array" ref="F63">_xll.FDS(A63,"FE_ESTIMATE(EPS,MEAN,QTR_ROLL,-0,0,,,'')")</f>
        <v>48.8</v>
      </c>
    </row>
    <row r="64" spans="1:6" x14ac:dyDescent="0.45">
      <c r="A64" t="s">
        <v>62</v>
      </c>
      <c r="B64" t="str" cm="1">
        <f t="array" ref="B64">_xll.FDS(A64,"FG_COMPANY_NAME")</f>
        <v>Baker Hughes Company Class A</v>
      </c>
      <c r="C64" t="s">
        <v>515</v>
      </c>
      <c r="D64" s="2" cm="1">
        <f t="array" ref="D64">_xll.FDS(A64,"JULIAN(FF_EPS(QTR_R,0).dates)")</f>
        <v>46022</v>
      </c>
      <c r="E64" cm="1">
        <f t="array" ref="E64">_xll.FDS(A64,"FF_EPS(QTR_R,0)")</f>
        <v>0.88129999999999997</v>
      </c>
      <c r="F64" cm="1">
        <f t="array" ref="F64">_xll.FDS(A64,"FE_ESTIMATE(EPS,MEAN,QTR_ROLL,-0,0,,,'')")</f>
        <v>0.78</v>
      </c>
    </row>
    <row r="65" spans="1:6" x14ac:dyDescent="0.45">
      <c r="A65" t="s">
        <v>63</v>
      </c>
      <c r="B65" t="str" cm="1">
        <f t="array" ref="B65">_xll.FDS(A65,"FG_COMPANY_NAME")</f>
        <v>Builders FirstSource, Inc.</v>
      </c>
      <c r="C65" t="s">
        <v>512</v>
      </c>
      <c r="D65" s="2" cm="1">
        <f t="array" ref="D65">_xll.FDS(A65,"JULIAN(FF_EPS(QTR_R,0).dates)")</f>
        <v>46022</v>
      </c>
      <c r="E65" cm="1">
        <f t="array" ref="E65">_xll.FDS(A65,"FF_EPS(QTR_R,0)")</f>
        <v>0.28399999999999997</v>
      </c>
      <c r="F65" cm="1">
        <f t="array" ref="F65">_xll.FDS(A65,"FE_ESTIMATE(EPS,MEAN,QTR_ROLL,-0,0,,,'')")</f>
        <v>1.1200000000000001</v>
      </c>
    </row>
    <row r="66" spans="1:6" x14ac:dyDescent="0.45">
      <c r="A66" t="s">
        <v>64</v>
      </c>
      <c r="B66" t="str" cm="1">
        <f t="array" ref="B66">_xll.FDS(A66,"FG_COMPANY_NAME")</f>
        <v>BlackRock, Inc.</v>
      </c>
      <c r="C66" t="s">
        <v>510</v>
      </c>
      <c r="D66" s="2" cm="1">
        <f t="array" ref="D66">_xll.FDS(A66,"JULIAN(FF_EPS(QTR_R,0).dates)")</f>
        <v>46022</v>
      </c>
      <c r="E66" cm="1">
        <f t="array" ref="E66">_xll.FDS(A66,"FF_EPS(QTR_R,0)")</f>
        <v>7.1584000000000003</v>
      </c>
      <c r="F66" cm="1">
        <f t="array" ref="F66">_xll.FDS(A66,"FE_ESTIMATE(EPS,MEAN,QTR_ROLL,-0,0,,,'')")</f>
        <v>13.16</v>
      </c>
    </row>
    <row r="67" spans="1:6" x14ac:dyDescent="0.45">
      <c r="A67" t="s">
        <v>65</v>
      </c>
      <c r="B67" t="str" cm="1">
        <f t="array" ref="B67">_xll.FDS(A67,"FG_COMPANY_NAME")</f>
        <v>Bristol-Myers Squibb Company</v>
      </c>
      <c r="C67" t="s">
        <v>507</v>
      </c>
      <c r="D67" s="2" cm="1">
        <f t="array" ref="D67">_xll.FDS(A67,"JULIAN(FF_EPS(QTR_R,0).dates)")</f>
        <v>46022</v>
      </c>
      <c r="E67" cm="1">
        <f t="array" ref="E67">_xll.FDS(A67,"FF_EPS(QTR_R,0)")</f>
        <v>0.53259999999999996</v>
      </c>
      <c r="F67" cm="1">
        <f t="array" ref="F67">_xll.FDS(A67,"FE_ESTIMATE(EPS,MEAN,QTR_ROLL,-0,0,,,'')")</f>
        <v>1.26</v>
      </c>
    </row>
    <row r="68" spans="1:6" x14ac:dyDescent="0.45">
      <c r="A68" t="s">
        <v>66</v>
      </c>
      <c r="B68" t="str" cm="1">
        <f t="array" ref="B68">_xll.FDS(A68,"FG_COMPANY_NAME")</f>
        <v>Broadridge Financial Solutions, Inc.</v>
      </c>
      <c r="C68" t="s">
        <v>512</v>
      </c>
      <c r="D68" s="2" cm="1">
        <f t="array" ref="D68">_xll.FDS(A68,"JULIAN(FF_EPS(QTR_R,0).dates)")</f>
        <v>46022</v>
      </c>
      <c r="E68" cm="1">
        <f t="array" ref="E68">_xll.FDS(A68,"FF_EPS(QTR_R,0)")</f>
        <v>2.4180000000000001</v>
      </c>
      <c r="F68" cm="1">
        <f t="array" ref="F68">_xll.FDS(A68,"FE_ESTIMATE(EPS,MEAN,QTR_ROLL,-0,0,,,'')")</f>
        <v>1.59</v>
      </c>
    </row>
    <row r="69" spans="1:6" x14ac:dyDescent="0.45">
      <c r="A69" t="s">
        <v>67</v>
      </c>
      <c r="B69" t="str" cm="1">
        <f t="array" ref="B69">_xll.FDS(A69,"FG_COMPANY_NAME")</f>
        <v>Berkshire Hathaway Inc. Class B</v>
      </c>
      <c r="C69" t="s">
        <v>510</v>
      </c>
      <c r="D69" s="2" cm="1">
        <f t="array" ref="D69">_xll.FDS(A69,"JULIAN(FF_EPS(QTR_R,0).dates)")</f>
        <v>46022</v>
      </c>
      <c r="E69" cm="1">
        <f t="array" ref="E69">_xll.FDS(A69,"FF_EPS(QTR_R,0)")</f>
        <v>8.8994</v>
      </c>
      <c r="F69" cm="1">
        <f t="array" ref="F69">_xll.FDS(A69,"FE_ESTIMATE(EPS,MEAN,QTR_ROLL,-0,0,,,'')")</f>
        <v>4.72865</v>
      </c>
    </row>
    <row r="70" spans="1:6" x14ac:dyDescent="0.45">
      <c r="A70" t="s">
        <v>68</v>
      </c>
      <c r="B70" t="str" cm="1">
        <f t="array" ref="B70">_xll.FDS(A70,"FG_COMPANY_NAME")</f>
        <v>Brown &amp; Brown, Inc.</v>
      </c>
      <c r="C70" t="s">
        <v>510</v>
      </c>
      <c r="D70" s="2" cm="1">
        <f t="array" ref="D70">_xll.FDS(A70,"JULIAN(FF_EPS(QTR_R,0).dates)")</f>
        <v>46022</v>
      </c>
      <c r="E70" cm="1">
        <f t="array" ref="E70">_xll.FDS(A70,"FF_EPS(QTR_R,0)")</f>
        <v>0.59</v>
      </c>
      <c r="F70" cm="1">
        <f t="array" ref="F70">_xll.FDS(A70,"FE_ESTIMATE(EPS,MEAN,QTR_ROLL,-0,0,,,'')")</f>
        <v>0.93</v>
      </c>
    </row>
    <row r="71" spans="1:6" x14ac:dyDescent="0.45">
      <c r="A71" t="s">
        <v>69</v>
      </c>
      <c r="B71" t="str" cm="1">
        <f t="array" ref="B71">_xll.FDS(A71,"FG_COMPANY_NAME")</f>
        <v>Boston Scientific Corporation</v>
      </c>
      <c r="C71" t="s">
        <v>507</v>
      </c>
      <c r="D71" s="2" cm="1">
        <f t="array" ref="D71">_xll.FDS(A71,"JULIAN(FF_EPS(QTR_R,0).dates)")</f>
        <v>46022</v>
      </c>
      <c r="E71" cm="1">
        <f t="array" ref="E71">_xll.FDS(A71,"FF_EPS(QTR_R,0)")</f>
        <v>0.44929999999999998</v>
      </c>
      <c r="F71" cm="1">
        <f t="array" ref="F71">_xll.FDS(A71,"FE_ESTIMATE(EPS,MEAN,QTR_ROLL,-0,0,,,'')")</f>
        <v>0.8</v>
      </c>
    </row>
    <row r="72" spans="1:6" x14ac:dyDescent="0.45">
      <c r="A72" t="s">
        <v>70</v>
      </c>
      <c r="B72" t="str" cm="1">
        <f t="array" ref="B72">_xll.FDS(A72,"FG_COMPANY_NAME")</f>
        <v>BorgWarner Inc.</v>
      </c>
      <c r="C72" t="s">
        <v>509</v>
      </c>
      <c r="D72" s="2" cm="1">
        <f t="array" ref="D72">_xll.FDS(A72,"JULIAN(FF_EPS(QTR_R,0).dates)")</f>
        <v>46022</v>
      </c>
      <c r="E72" cm="1">
        <f t="array" ref="E72">_xll.FDS(A72,"FF_EPS(QTR_R,0)")</f>
        <v>-1.2654000000000001</v>
      </c>
      <c r="F72" cm="1">
        <f t="array" ref="F72">_xll.FDS(A72,"FE_ESTIMATE(EPS,MEAN,QTR_ROLL,-0,0,,,'')")</f>
        <v>1.35</v>
      </c>
    </row>
    <row r="73" spans="1:6" x14ac:dyDescent="0.45">
      <c r="A73" t="s">
        <v>71</v>
      </c>
      <c r="B73" t="str" cm="1">
        <f t="array" ref="B73">_xll.FDS(A73,"FG_COMPANY_NAME")</f>
        <v>Blackstone Inc.</v>
      </c>
      <c r="C73" t="s">
        <v>510</v>
      </c>
      <c r="D73" s="2" cm="1">
        <f t="array" ref="D73">_xll.FDS(A73,"JULIAN(FF_EPS(QTR_R,0).dates)")</f>
        <v>46022</v>
      </c>
      <c r="E73" cm="1">
        <f t="array" ref="E73">_xll.FDS(A73,"FF_EPS(QTR_R,0)")</f>
        <v>1.2962</v>
      </c>
      <c r="F73" cm="1">
        <f t="array" ref="F73">_xll.FDS(A73,"FE_ESTIMATE(EPS,MEAN,QTR_ROLL,-0,0,,,'')")</f>
        <v>1.75</v>
      </c>
    </row>
    <row r="74" spans="1:6" x14ac:dyDescent="0.45">
      <c r="A74" t="s">
        <v>72</v>
      </c>
      <c r="B74" t="str" cm="1">
        <f t="array" ref="B74">_xll.FDS(A74,"FG_COMPANY_NAME")</f>
        <v>BXP Inc</v>
      </c>
      <c r="C74" t="s">
        <v>514</v>
      </c>
      <c r="D74" s="2" cm="1">
        <f t="array" ref="D74">_xll.FDS(A74,"JULIAN(FF_EPS(QTR_R,0).dates)")</f>
        <v>46022</v>
      </c>
      <c r="E74" cm="1">
        <f t="array" ref="E74">_xll.FDS(A74,"FF_EPS(QTR_R,0)")</f>
        <v>1.5617000000000001</v>
      </c>
      <c r="F74" cm="1">
        <f t="array" ref="F74">_xll.FDS(A74,"FE_ESTIMATE(EPS,MEAN,QTR_ROLL,-0,0,,,'')")</f>
        <v>1.56</v>
      </c>
    </row>
    <row r="75" spans="1:6" x14ac:dyDescent="0.45">
      <c r="A75" t="s">
        <v>73</v>
      </c>
      <c r="B75" t="str" cm="1">
        <f t="array" ref="B75">_xll.FDS(A75,"FG_COMPANY_NAME")</f>
        <v>Citigroup Inc.</v>
      </c>
      <c r="C75" t="s">
        <v>510</v>
      </c>
      <c r="D75" s="2" cm="1">
        <f t="array" ref="D75">_xll.FDS(A75,"JULIAN(FF_EPS(QTR_R,0).dates)")</f>
        <v>46022</v>
      </c>
      <c r="E75" cm="1">
        <f t="array" ref="E75">_xll.FDS(A75,"FF_EPS(QTR_R,0)")</f>
        <v>1.1938</v>
      </c>
      <c r="F75" cm="1">
        <f t="array" ref="F75">_xll.FDS(A75,"FE_ESTIMATE(EPS,MEAN,QTR_ROLL,-0,0,,,'')")</f>
        <v>1.19</v>
      </c>
    </row>
    <row r="76" spans="1:6" x14ac:dyDescent="0.45">
      <c r="A76" t="s">
        <v>74</v>
      </c>
      <c r="B76" t="str" cm="1">
        <f t="array" ref="B76">_xll.FDS(A76,"FG_COMPANY_NAME")</f>
        <v>Conagra Brands, Inc.</v>
      </c>
      <c r="C76" t="s">
        <v>511</v>
      </c>
      <c r="D76" s="2" cm="1">
        <f t="array" ref="D76">_xll.FDS(A76,"JULIAN(FF_EPS(QTR_R,0).dates)")</f>
        <v>45989</v>
      </c>
      <c r="E76" cm="1">
        <f t="array" ref="E76">_xll.FDS(A76,"FF_EPS(QTR_R,0)")</f>
        <v>-1.3854</v>
      </c>
      <c r="F76" cm="1">
        <f t="array" ref="F76">_xll.FDS(A76,"FE_ESTIMATE(EPS,MEAN,QTR_ROLL,-0,0,,,'')")</f>
        <v>0.45</v>
      </c>
    </row>
    <row r="77" spans="1:6" x14ac:dyDescent="0.45">
      <c r="A77" t="s">
        <v>75</v>
      </c>
      <c r="B77" t="str" cm="1">
        <f t="array" ref="B77">_xll.FDS(A77,"FG_COMPANY_NAME")</f>
        <v>Cardinal Health, Inc.</v>
      </c>
      <c r="C77" t="s">
        <v>507</v>
      </c>
      <c r="D77" s="2" cm="1">
        <f t="array" ref="D77">_xll.FDS(A77,"JULIAN(FF_EPS(QTR_R,0).dates)")</f>
        <v>46022</v>
      </c>
      <c r="E77" cm="1">
        <f t="array" ref="E77">_xll.FDS(A77,"FF_EPS(QTR_R,0)")</f>
        <v>1.9704999999999999</v>
      </c>
      <c r="F77" cm="1">
        <f t="array" ref="F77">_xll.FDS(A77,"FE_ESTIMATE(EPS,MEAN,QTR_ROLL,-0,0,,,'')")</f>
        <v>2.63</v>
      </c>
    </row>
    <row r="78" spans="1:6" x14ac:dyDescent="0.45">
      <c r="A78" t="s">
        <v>76</v>
      </c>
      <c r="B78" t="str" cm="1">
        <f t="array" ref="B78">_xll.FDS(A78,"FG_COMPANY_NAME")</f>
        <v>Carrier Global Corp.</v>
      </c>
      <c r="C78" t="s">
        <v>512</v>
      </c>
      <c r="D78" s="2" cm="1">
        <f t="array" ref="D78">_xll.FDS(A78,"JULIAN(FF_EPS(QTR_R,0).dates)")</f>
        <v>46022</v>
      </c>
      <c r="E78" cm="1">
        <f t="array" ref="E78">_xll.FDS(A78,"FF_EPS(QTR_R,0)")</f>
        <v>6.2600000000000003E-2</v>
      </c>
      <c r="F78" cm="1">
        <f t="array" ref="F78">_xll.FDS(A78,"FE_ESTIMATE(EPS,MEAN,QTR_ROLL,-0,0,,,'')")</f>
        <v>0.34</v>
      </c>
    </row>
    <row r="79" spans="1:6" x14ac:dyDescent="0.45">
      <c r="A79" t="s">
        <v>77</v>
      </c>
      <c r="B79" t="str" cm="1">
        <f t="array" ref="B79">_xll.FDS(A79,"FG_COMPANY_NAME")</f>
        <v>Caterpillar Inc.</v>
      </c>
      <c r="C79" t="s">
        <v>512</v>
      </c>
      <c r="D79" s="2" cm="1">
        <f t="array" ref="D79">_xll.FDS(A79,"JULIAN(FF_EPS(QTR_R,0).dates)")</f>
        <v>46022</v>
      </c>
      <c r="E79" cm="1">
        <f t="array" ref="E79">_xll.FDS(A79,"FF_EPS(QTR_R,0)")</f>
        <v>5.1215000000000002</v>
      </c>
      <c r="F79" cm="1">
        <f t="array" ref="F79">_xll.FDS(A79,"FE_ESTIMATE(EPS,MEAN,QTR_ROLL,-0,0,,,'')")</f>
        <v>5.16</v>
      </c>
    </row>
    <row r="80" spans="1:6" x14ac:dyDescent="0.45">
      <c r="A80" t="s">
        <v>78</v>
      </c>
      <c r="B80" t="str" cm="1">
        <f t="array" ref="B80">_xll.FDS(A80,"FG_COMPANY_NAME")</f>
        <v>Chubb Limited</v>
      </c>
      <c r="C80" t="s">
        <v>510</v>
      </c>
      <c r="D80" s="2" cm="1">
        <f t="array" ref="D80">_xll.FDS(A80,"JULIAN(FF_EPS(QTR_R,0).dates)")</f>
        <v>46022</v>
      </c>
      <c r="E80" cm="1">
        <f t="array" ref="E80">_xll.FDS(A80,"FF_EPS(QTR_R,0)")</f>
        <v>8.0958000000000006</v>
      </c>
      <c r="F80" cm="1">
        <f t="array" ref="F80">_xll.FDS(A80,"FE_ESTIMATE(EPS,MEAN,QTR_ROLL,-0,0,,,'')")</f>
        <v>7.52</v>
      </c>
    </row>
    <row r="81" spans="1:6" x14ac:dyDescent="0.45">
      <c r="A81" t="s">
        <v>79</v>
      </c>
      <c r="B81" t="str" cm="1">
        <f t="array" ref="B81">_xll.FDS(A81,"FG_COMPANY_NAME")</f>
        <v>Cboe Global Markets Inc</v>
      </c>
      <c r="C81" t="s">
        <v>510</v>
      </c>
      <c r="D81" s="2" cm="1">
        <f t="array" ref="D81">_xll.FDS(A81,"JULIAN(FF_EPS(QTR_R,0).dates)")</f>
        <v>46022</v>
      </c>
      <c r="E81" cm="1">
        <f t="array" ref="E81">_xll.FDS(A81,"FF_EPS(QTR_R,0)")</f>
        <v>2.9733000000000001</v>
      </c>
      <c r="F81" cm="1">
        <f t="array" ref="F81">_xll.FDS(A81,"FE_ESTIMATE(EPS,MEAN,QTR_ROLL,-0,0,,,'')")</f>
        <v>3.06</v>
      </c>
    </row>
    <row r="82" spans="1:6" x14ac:dyDescent="0.45">
      <c r="A82" t="s">
        <v>80</v>
      </c>
      <c r="B82" t="str" cm="1">
        <f t="array" ref="B82">_xll.FDS(A82,"FG_COMPANY_NAME")</f>
        <v>CBRE Group, Inc. Class A</v>
      </c>
      <c r="C82" t="s">
        <v>514</v>
      </c>
      <c r="D82" s="2" cm="1">
        <f t="array" ref="D82">_xll.FDS(A82,"JULIAN(FF_EPS(QTR_R,0).dates)")</f>
        <v>46022</v>
      </c>
      <c r="E82" cm="1">
        <f t="array" ref="E82">_xll.FDS(A82,"FF_EPS(QTR_R,0)")</f>
        <v>1.3873</v>
      </c>
      <c r="F82" cm="1">
        <f t="array" ref="F82">_xll.FDS(A82,"FE_ESTIMATE(EPS,MEAN,QTR_ROLL,-0,0,,,'')")</f>
        <v>2.73</v>
      </c>
    </row>
    <row r="83" spans="1:6" x14ac:dyDescent="0.45">
      <c r="A83" t="s">
        <v>81</v>
      </c>
      <c r="B83" t="str" cm="1">
        <f t="array" ref="B83">_xll.FDS(A83,"FG_COMPANY_NAME")</f>
        <v>Crown Castle Inc.</v>
      </c>
      <c r="C83" t="s">
        <v>514</v>
      </c>
      <c r="D83" s="2" cm="1">
        <f t="array" ref="D83">_xll.FDS(A83,"JULIAN(FF_EPS(QTR_R,0).dates)")</f>
        <v>46022</v>
      </c>
      <c r="E83" cm="1">
        <f t="array" ref="E83">_xll.FDS(A83,"FF_EPS(QTR_R,0)")</f>
        <v>1.2723</v>
      </c>
      <c r="F83" cm="1">
        <f t="array" ref="F83">_xll.FDS(A83,"FE_ESTIMATE(EPS,MEAN,QTR_ROLL,-0,0,,,'')")</f>
        <v>0.67</v>
      </c>
    </row>
    <row r="84" spans="1:6" x14ac:dyDescent="0.45">
      <c r="A84" t="s">
        <v>82</v>
      </c>
      <c r="B84" t="str" cm="1">
        <f t="array" ref="B84">_xll.FDS(A84,"FG_COMPANY_NAME")</f>
        <v>Carnival Corporation</v>
      </c>
      <c r="C84" t="s">
        <v>509</v>
      </c>
      <c r="D84" s="2" cm="1">
        <f t="array" ref="D84">_xll.FDS(A84,"JULIAN(FF_EPS(QTR_R,0).dates)")</f>
        <v>45989</v>
      </c>
      <c r="E84" cm="1">
        <f t="array" ref="E84">_xll.FDS(A84,"FF_EPS(QTR_R,0)")</f>
        <v>0.31359999999999999</v>
      </c>
      <c r="F84" cm="1">
        <f t="array" ref="F84">_xll.FDS(A84,"FE_ESTIMATE(EPS,MEAN,QTR_ROLL,-0,0,,,'')")</f>
        <v>0.2</v>
      </c>
    </row>
    <row r="85" spans="1:6" x14ac:dyDescent="0.45">
      <c r="A85" t="s">
        <v>129</v>
      </c>
      <c r="B85" t="str" cm="1">
        <f t="array" ref="B85">_xll.FDS(A85,"FG_COMPANY_NAME")</f>
        <v>Dayforce, Inc.</v>
      </c>
      <c r="C85" t="s">
        <v>512</v>
      </c>
      <c r="D85" s="2" cm="1">
        <f t="array" ref="D85">_xll.FDS(A85,"JULIAN(FF_EPS(QTR_R,0).dates)")</f>
        <v>45930</v>
      </c>
      <c r="E85" cm="1">
        <f t="array" ref="E85">_xll.FDS(A85,"FF_EPS(QTR_R,0)")</f>
        <v>-1.2315</v>
      </c>
      <c r="F85" cm="1">
        <f t="array" ref="F85">_xll.FDS(A85,"FE_ESTIMATE(EPS,MEAN,QTR_ROLL,-0,0,,,'')")</f>
        <v>0.37</v>
      </c>
    </row>
    <row r="86" spans="1:6" x14ac:dyDescent="0.45">
      <c r="A86" t="s">
        <v>83</v>
      </c>
      <c r="B86" t="str" cm="1">
        <f t="array" ref="B86">_xll.FDS(A86,"FG_COMPANY_NAME")</f>
        <v>Cadence Design Systems, Inc.</v>
      </c>
      <c r="C86" t="s">
        <v>508</v>
      </c>
      <c r="D86" s="2" cm="1">
        <f t="array" ref="D86">_xll.FDS(A86,"JULIAN(FF_EPS(QTR_R,0).dates)")</f>
        <v>46022</v>
      </c>
      <c r="E86" cm="1">
        <f t="array" ref="E86">_xll.FDS(A86,"FF_EPS(QTR_R,0)")</f>
        <v>1.4220999999999999</v>
      </c>
      <c r="F86" cm="1">
        <f t="array" ref="F86">_xll.FDS(A86,"FE_ESTIMATE(EPS,MEAN,QTR_ROLL,-0,0,,,'')")</f>
        <v>1.99</v>
      </c>
    </row>
    <row r="87" spans="1:6" x14ac:dyDescent="0.45">
      <c r="A87" t="s">
        <v>84</v>
      </c>
      <c r="B87" t="str" cm="1">
        <f t="array" ref="B87">_xll.FDS(A87,"FG_COMPANY_NAME")</f>
        <v>CDW Corporation</v>
      </c>
      <c r="C87" t="s">
        <v>508</v>
      </c>
      <c r="D87" s="2" cm="1">
        <f t="array" ref="D87">_xll.FDS(A87,"JULIAN(FF_EPS(QTR_R,0).dates)")</f>
        <v>46022</v>
      </c>
      <c r="E87" cm="1">
        <f t="array" ref="E87">_xll.FDS(A87,"FF_EPS(QTR_R,0)")</f>
        <v>2.1400999999999999</v>
      </c>
      <c r="F87" cm="1">
        <f t="array" ref="F87">_xll.FDS(A87,"FE_ESTIMATE(EPS,MEAN,QTR_ROLL,-0,0,,,'')")</f>
        <v>2.57</v>
      </c>
    </row>
    <row r="88" spans="1:6" x14ac:dyDescent="0.45">
      <c r="A88" t="s">
        <v>85</v>
      </c>
      <c r="B88" t="str" cm="1">
        <f t="array" ref="B88">_xll.FDS(A88,"FG_COMPANY_NAME")</f>
        <v>Celanese Corporation</v>
      </c>
      <c r="C88" t="s">
        <v>513</v>
      </c>
      <c r="D88" s="2" cm="1">
        <f t="array" ref="D88">_xll.FDS(A88,"JULIAN(FF_EPS(QTR_R,0).dates)")</f>
        <v>46022</v>
      </c>
      <c r="E88" cm="1">
        <f t="array" ref="E88">_xll.FDS(A88,"FF_EPS(QTR_R,0)")</f>
        <v>0.17299999999999999</v>
      </c>
      <c r="F88" cm="1">
        <f t="array" ref="F88">_xll.FDS(A88,"FE_ESTIMATE(EPS,MEAN,QTR_ROLL,-0,0,,,'')")</f>
        <v>0.67</v>
      </c>
    </row>
    <row r="89" spans="1:6" x14ac:dyDescent="0.45">
      <c r="A89" t="s">
        <v>86</v>
      </c>
      <c r="B89" t="str" cm="1">
        <f t="array" ref="B89">_xll.FDS(A89,"FG_COMPANY_NAME")</f>
        <v>Constellation Energy Corporation</v>
      </c>
      <c r="C89" t="s">
        <v>505</v>
      </c>
      <c r="D89" s="2" cm="1">
        <f t="array" ref="D89">_xll.FDS(A89,"JULIAN(FF_EPS(QTR_R,0).dates)")</f>
        <v>46022</v>
      </c>
      <c r="E89" cm="1">
        <f t="array" ref="E89">_xll.FDS(A89,"FF_EPS(QTR_R,0)")</f>
        <v>1.3802000000000001</v>
      </c>
      <c r="F89" cm="1">
        <f t="array" ref="F89">_xll.FDS(A89,"FE_ESTIMATE(EPS,MEAN,QTR_ROLL,-0,0,,,'')")</f>
        <v>2.2999999999999998</v>
      </c>
    </row>
    <row r="90" spans="1:6" x14ac:dyDescent="0.45">
      <c r="A90" t="s">
        <v>87</v>
      </c>
      <c r="B90" t="str" cm="1">
        <f t="array" ref="B90">_xll.FDS(A90,"FG_COMPANY_NAME")</f>
        <v>CF Industries Holdings, Inc.</v>
      </c>
      <c r="C90" t="s">
        <v>513</v>
      </c>
      <c r="D90" s="2" cm="1">
        <f t="array" ref="D90">_xll.FDS(A90,"JULIAN(FF_EPS(QTR_R,0).dates)")</f>
        <v>46022</v>
      </c>
      <c r="E90" cm="1">
        <f t="array" ref="E90">_xll.FDS(A90,"FF_EPS(QTR_R,0)")</f>
        <v>2.5880999999999998</v>
      </c>
      <c r="F90" cm="1">
        <f t="array" ref="F90">_xll.FDS(A90,"FE_ESTIMATE(EPS,MEAN,QTR_ROLL,-0,0,,,'')")</f>
        <v>2.724529</v>
      </c>
    </row>
    <row r="91" spans="1:6" x14ac:dyDescent="0.45">
      <c r="A91" t="s">
        <v>88</v>
      </c>
      <c r="B91" t="str" cm="1">
        <f t="array" ref="B91">_xll.FDS(A91,"FG_COMPANY_NAME")</f>
        <v>Citizens Financial Group, Inc.</v>
      </c>
      <c r="C91" t="s">
        <v>510</v>
      </c>
      <c r="D91" s="2" cm="1">
        <f t="array" ref="D91">_xll.FDS(A91,"JULIAN(FF_EPS(QTR_R,0).dates)")</f>
        <v>46022</v>
      </c>
      <c r="E91" cm="1">
        <f t="array" ref="E91">_xll.FDS(A91,"FF_EPS(QTR_R,0)")</f>
        <v>1.1265000000000001</v>
      </c>
      <c r="F91" cm="1">
        <f t="array" ref="F91">_xll.FDS(A91,"FE_ESTIMATE(EPS,MEAN,QTR_ROLL,-0,0,,,'')")</f>
        <v>1.1299999999999999</v>
      </c>
    </row>
    <row r="92" spans="1:6" x14ac:dyDescent="0.45">
      <c r="A92" t="s">
        <v>89</v>
      </c>
      <c r="B92" t="str" cm="1">
        <f t="array" ref="B92">_xll.FDS(A92,"FG_COMPANY_NAME")</f>
        <v>Church &amp; Dwight Co., Inc.</v>
      </c>
      <c r="C92" t="s">
        <v>511</v>
      </c>
      <c r="D92" s="2" cm="1">
        <f t="array" ref="D92">_xll.FDS(A92,"JULIAN(FF_EPS(QTR_R,0).dates)")</f>
        <v>46022</v>
      </c>
      <c r="E92" cm="1">
        <f t="array" ref="E92">_xll.FDS(A92,"FF_EPS(QTR_R,0)")</f>
        <v>0.59889999999999999</v>
      </c>
      <c r="F92" cm="1">
        <f t="array" ref="F92">_xll.FDS(A92,"FE_ESTIMATE(EPS,MEAN,QTR_ROLL,-0,0,,,'')")</f>
        <v>0.86</v>
      </c>
    </row>
    <row r="93" spans="1:6" x14ac:dyDescent="0.45">
      <c r="A93" t="s">
        <v>90</v>
      </c>
      <c r="B93" t="str" cm="1">
        <f t="array" ref="B93">_xll.FDS(A93,"FG_COMPANY_NAME")</f>
        <v>C.H. Robinson Worldwide, Inc.</v>
      </c>
      <c r="C93" t="s">
        <v>512</v>
      </c>
      <c r="D93" s="2" cm="1">
        <f t="array" ref="D93">_xll.FDS(A93,"JULIAN(FF_EPS(QTR_R,0).dates)")</f>
        <v>46022</v>
      </c>
      <c r="E93" cm="1">
        <f t="array" ref="E93">_xll.FDS(A93,"FF_EPS(QTR_R,0)")</f>
        <v>1.1205000000000001</v>
      </c>
      <c r="F93" cm="1">
        <f t="array" ref="F93">_xll.FDS(A93,"FE_ESTIMATE(EPS,MEAN,QTR_ROLL,-0,0,,,'')")</f>
        <v>1.23</v>
      </c>
    </row>
    <row r="94" spans="1:6" x14ac:dyDescent="0.45">
      <c r="A94" t="s">
        <v>91</v>
      </c>
      <c r="B94" t="str" cm="1">
        <f t="array" ref="B94">_xll.FDS(A94,"FG_COMPANY_NAME")</f>
        <v>Charter Communications, Inc. Class A</v>
      </c>
      <c r="C94" t="s">
        <v>516</v>
      </c>
      <c r="D94" s="2" cm="1">
        <f t="array" ref="D94">_xll.FDS(A94,"JULIAN(FF_EPS(QTR_R,0).dates)")</f>
        <v>46022</v>
      </c>
      <c r="E94" cm="1">
        <f t="array" ref="E94">_xll.FDS(A94,"FF_EPS(QTR_R,0)")</f>
        <v>10.3314</v>
      </c>
      <c r="F94" cm="1">
        <f t="array" ref="F94">_xll.FDS(A94,"FE_ESTIMATE(EPS,MEAN,QTR_ROLL,-0,0,,,'')")</f>
        <v>10.34</v>
      </c>
    </row>
    <row r="95" spans="1:6" x14ac:dyDescent="0.45">
      <c r="A95" t="s">
        <v>92</v>
      </c>
      <c r="B95" t="str" cm="1">
        <f t="array" ref="B95">_xll.FDS(A95,"FG_COMPANY_NAME")</f>
        <v>Cigna Group</v>
      </c>
      <c r="C95" t="s">
        <v>507</v>
      </c>
      <c r="D95" s="2" cm="1">
        <f t="array" ref="D95">_xll.FDS(A95,"JULIAN(FF_EPS(QTR_R,0).dates)")</f>
        <v>46022</v>
      </c>
      <c r="E95" cm="1">
        <f t="array" ref="E95">_xll.FDS(A95,"FF_EPS(QTR_R,0)")</f>
        <v>4.6444000000000001</v>
      </c>
      <c r="F95" cm="1">
        <f t="array" ref="F95">_xll.FDS(A95,"FE_ESTIMATE(EPS,MEAN,QTR_ROLL,-0,0,,,'')")</f>
        <v>8.08</v>
      </c>
    </row>
    <row r="96" spans="1:6" x14ac:dyDescent="0.45">
      <c r="A96" t="s">
        <v>93</v>
      </c>
      <c r="B96" t="str" cm="1">
        <f t="array" ref="B96">_xll.FDS(A96,"FG_COMPANY_NAME")</f>
        <v>Cincinnati Financial Corporation</v>
      </c>
      <c r="C96" t="s">
        <v>510</v>
      </c>
      <c r="D96" s="2" cm="1">
        <f t="array" ref="D96">_xll.FDS(A96,"JULIAN(FF_EPS(QTR_R,0).dates)")</f>
        <v>46022</v>
      </c>
      <c r="E96" cm="1">
        <f t="array" ref="E96">_xll.FDS(A96,"FF_EPS(QTR_R,0)")</f>
        <v>4.2920999999999996</v>
      </c>
      <c r="F96" cm="1">
        <f t="array" ref="F96">_xll.FDS(A96,"FE_ESTIMATE(EPS,MEAN,QTR_ROLL,-0,0,,,'')")</f>
        <v>3.37</v>
      </c>
    </row>
    <row r="97" spans="1:6" x14ac:dyDescent="0.45">
      <c r="A97" t="s">
        <v>94</v>
      </c>
      <c r="B97" t="str" cm="1">
        <f t="array" ref="B97">_xll.FDS(A97,"FG_COMPANY_NAME")</f>
        <v>Colgate-Palmolive Company</v>
      </c>
      <c r="C97" t="s">
        <v>511</v>
      </c>
      <c r="D97" s="2" cm="1">
        <f t="array" ref="D97">_xll.FDS(A97,"JULIAN(FF_EPS(QTR_R,0).dates)")</f>
        <v>46022</v>
      </c>
      <c r="E97" cm="1">
        <f t="array" ref="E97">_xll.FDS(A97,"FF_EPS(QTR_R,0)")</f>
        <v>-4.5999999999999999E-2</v>
      </c>
      <c r="F97" cm="1">
        <f t="array" ref="F97">_xll.FDS(A97,"FE_ESTIMATE(EPS,MEAN,QTR_ROLL,-0,0,,,'')")</f>
        <v>0.95</v>
      </c>
    </row>
    <row r="98" spans="1:6" x14ac:dyDescent="0.45">
      <c r="A98" t="s">
        <v>95</v>
      </c>
      <c r="B98" t="str" cm="1">
        <f t="array" ref="B98">_xll.FDS(A98,"FG_COMPANY_NAME")</f>
        <v>Clorox Company</v>
      </c>
      <c r="C98" t="s">
        <v>511</v>
      </c>
      <c r="D98" s="2" cm="1">
        <f t="array" ref="D98">_xll.FDS(A98,"JULIAN(FF_EPS(QTR_R,0).dates)")</f>
        <v>46022</v>
      </c>
      <c r="E98" cm="1">
        <f t="array" ref="E98">_xll.FDS(A98,"FF_EPS(QTR_R,0)")</f>
        <v>1.2878000000000001</v>
      </c>
      <c r="F98" cm="1">
        <f t="array" ref="F98">_xll.FDS(A98,"FE_ESTIMATE(EPS,MEAN,QTR_ROLL,-0,0,,,'')")</f>
        <v>1.39</v>
      </c>
    </row>
    <row r="99" spans="1:6" x14ac:dyDescent="0.45">
      <c r="A99" t="s">
        <v>96</v>
      </c>
      <c r="B99" t="str" cm="1">
        <f t="array" ref="B99">_xll.FDS(A99,"FG_COMPANY_NAME")</f>
        <v>Comerica Incorporated</v>
      </c>
      <c r="C99" t="s">
        <v>510</v>
      </c>
      <c r="D99" s="2" cm="1">
        <f t="array" ref="D99">_xll.FDS(A99,"JULIAN(FF_EPS(QTR_R,0).dates)")</f>
        <v>46022</v>
      </c>
      <c r="E99" cm="1">
        <f t="array" ref="E99">_xll.FDS(A99,"FF_EPS(QTR_R,0)")</f>
        <v>1.27</v>
      </c>
      <c r="F99" cm="1">
        <f t="array" ref="F99">_xll.FDS(A99,"FE_ESTIMATE(EPS,MEAN,QTR_ROLL,-0,0,,,'')")</f>
        <v>1.27</v>
      </c>
    </row>
    <row r="100" spans="1:6" x14ac:dyDescent="0.45">
      <c r="A100" t="s">
        <v>97</v>
      </c>
      <c r="B100" t="str" cm="1">
        <f t="array" ref="B100">_xll.FDS(A100,"FG_COMPANY_NAME")</f>
        <v>Comcast Corporation Class A</v>
      </c>
      <c r="C100" t="s">
        <v>516</v>
      </c>
      <c r="D100" s="2" cm="1">
        <f t="array" ref="D100">_xll.FDS(A100,"JULIAN(FF_EPS(QTR_R,0).dates)")</f>
        <v>46022</v>
      </c>
      <c r="E100" cm="1">
        <f t="array" ref="E100">_xll.FDS(A100,"FF_EPS(QTR_R,0)")</f>
        <v>0.59630000000000005</v>
      </c>
      <c r="F100" cm="1">
        <f t="array" ref="F100">_xll.FDS(A100,"FE_ESTIMATE(EPS,MEAN,QTR_ROLL,-0,0,,,'')")</f>
        <v>0.84</v>
      </c>
    </row>
    <row r="101" spans="1:6" x14ac:dyDescent="0.45">
      <c r="A101" t="s">
        <v>98</v>
      </c>
      <c r="B101" t="str" cm="1">
        <f t="array" ref="B101">_xll.FDS(A101,"FG_COMPANY_NAME")</f>
        <v>CME Group Inc. Class A</v>
      </c>
      <c r="C101" t="s">
        <v>510</v>
      </c>
      <c r="D101" s="2" cm="1">
        <f t="array" ref="D101">_xll.FDS(A101,"JULIAN(FF_EPS(QTR_R,0).dates)")</f>
        <v>46022</v>
      </c>
      <c r="E101" cm="1">
        <f t="array" ref="E101">_xll.FDS(A101,"FF_EPS(QTR_R,0)")</f>
        <v>3.2423999999999999</v>
      </c>
      <c r="F101" cm="1">
        <f t="array" ref="F101">_xll.FDS(A101,"FE_ESTIMATE(EPS,MEAN,QTR_ROLL,-0,0,,,'')")</f>
        <v>2.77</v>
      </c>
    </row>
    <row r="102" spans="1:6" x14ac:dyDescent="0.45">
      <c r="A102" t="s">
        <v>99</v>
      </c>
      <c r="B102" t="str" cm="1">
        <f t="array" ref="B102">_xll.FDS(A102,"FG_COMPANY_NAME")</f>
        <v>Chipotle Mexican Grill, Inc.</v>
      </c>
      <c r="C102" t="s">
        <v>509</v>
      </c>
      <c r="D102" s="2" cm="1">
        <f t="array" ref="D102">_xll.FDS(A102,"JULIAN(FF_EPS(QTR_R,0).dates)")</f>
        <v>46022</v>
      </c>
      <c r="E102" cm="1">
        <f t="array" ref="E102">_xll.FDS(A102,"FF_EPS(QTR_R,0)")</f>
        <v>0.25069999999999998</v>
      </c>
      <c r="F102" cm="1">
        <f t="array" ref="F102">_xll.FDS(A102,"FE_ESTIMATE(EPS,MEAN,QTR_ROLL,-0,0,,,'')")</f>
        <v>0.25</v>
      </c>
    </row>
    <row r="103" spans="1:6" x14ac:dyDescent="0.45">
      <c r="A103" t="s">
        <v>100</v>
      </c>
      <c r="B103" t="str" cm="1">
        <f t="array" ref="B103">_xll.FDS(A103,"FG_COMPANY_NAME")</f>
        <v>Cummins Inc.</v>
      </c>
      <c r="C103" t="s">
        <v>512</v>
      </c>
      <c r="D103" s="2" cm="1">
        <f t="array" ref="D103">_xll.FDS(A103,"JULIAN(FF_EPS(QTR_R,0).dates)")</f>
        <v>46022</v>
      </c>
      <c r="E103" cm="1">
        <f t="array" ref="E103">_xll.FDS(A103,"FF_EPS(QTR_R,0)")</f>
        <v>4.2662000000000004</v>
      </c>
      <c r="F103" cm="1">
        <f t="array" ref="F103">_xll.FDS(A103,"FE_ESTIMATE(EPS,MEAN,QTR_ROLL,-0,0,,,'')")</f>
        <v>5.8383450000000003</v>
      </c>
    </row>
    <row r="104" spans="1:6" x14ac:dyDescent="0.45">
      <c r="A104" t="s">
        <v>101</v>
      </c>
      <c r="B104" t="str" cm="1">
        <f t="array" ref="B104">_xll.FDS(A104,"FG_COMPANY_NAME")</f>
        <v>CMS Energy Corporation</v>
      </c>
      <c r="C104" t="s">
        <v>505</v>
      </c>
      <c r="D104" s="2" cm="1">
        <f t="array" ref="D104">_xll.FDS(A104,"JULIAN(FF_EPS(QTR_R,0).dates)")</f>
        <v>46022</v>
      </c>
      <c r="E104" cm="1">
        <f t="array" ref="E104">_xll.FDS(A104,"FF_EPS(QTR_R,0)")</f>
        <v>0.93520000000000003</v>
      </c>
      <c r="F104" cm="1">
        <f t="array" ref="F104">_xll.FDS(A104,"FE_ESTIMATE(EPS,MEAN,QTR_ROLL,-0,0,,,'')")</f>
        <v>0.95</v>
      </c>
    </row>
    <row r="105" spans="1:6" x14ac:dyDescent="0.45">
      <c r="A105" t="s">
        <v>102</v>
      </c>
      <c r="B105" t="str" cm="1">
        <f t="array" ref="B105">_xll.FDS(A105,"FG_COMPANY_NAME")</f>
        <v>Centene Corporation</v>
      </c>
      <c r="C105" t="s">
        <v>507</v>
      </c>
      <c r="D105" s="2" cm="1">
        <f t="array" ref="D105">_xll.FDS(A105,"JULIAN(FF_EPS(QTR_R,0).dates)")</f>
        <v>46022</v>
      </c>
      <c r="E105" cm="1">
        <f t="array" ref="E105">_xll.FDS(A105,"FF_EPS(QTR_R,0)")</f>
        <v>-2.2399</v>
      </c>
      <c r="F105" cm="1">
        <f t="array" ref="F105">_xll.FDS(A105,"FE_ESTIMATE(EPS,MEAN,QTR_ROLL,-0,0,,,'')")</f>
        <v>-1.19</v>
      </c>
    </row>
    <row r="106" spans="1:6" x14ac:dyDescent="0.45">
      <c r="A106" t="s">
        <v>103</v>
      </c>
      <c r="B106" t="str" cm="1">
        <f t="array" ref="B106">_xll.FDS(A106,"FG_COMPANY_NAME")</f>
        <v>CenterPoint Energy, Inc.</v>
      </c>
      <c r="C106" t="s">
        <v>505</v>
      </c>
      <c r="D106" s="2" cm="1">
        <f t="array" ref="D106">_xll.FDS(A106,"JULIAN(FF_EPS(QTR_R,0).dates)")</f>
        <v>46022</v>
      </c>
      <c r="E106" cm="1">
        <f t="array" ref="E106">_xll.FDS(A106,"FF_EPS(QTR_R,0)")</f>
        <v>0.40439999999999998</v>
      </c>
      <c r="F106" cm="1">
        <f t="array" ref="F106">_xll.FDS(A106,"FE_ESTIMATE(EPS,MEAN,QTR_ROLL,-0,0,,,'')")</f>
        <v>0.45</v>
      </c>
    </row>
    <row r="107" spans="1:6" x14ac:dyDescent="0.45">
      <c r="A107" t="s">
        <v>104</v>
      </c>
      <c r="B107" t="str" cm="1">
        <f t="array" ref="B107">_xll.FDS(A107,"FG_COMPANY_NAME")</f>
        <v>Capital One Financial Corp</v>
      </c>
      <c r="C107" t="s">
        <v>510</v>
      </c>
      <c r="D107" s="2" cm="1">
        <f t="array" ref="D107">_xll.FDS(A107,"JULIAN(FF_EPS(QTR_R,0).dates)")</f>
        <v>46022</v>
      </c>
      <c r="E107" cm="1">
        <f t="array" ref="E107">_xll.FDS(A107,"FF_EPS(QTR_R,0)")</f>
        <v>3.2568000000000001</v>
      </c>
      <c r="F107" cm="1">
        <f t="array" ref="F107">_xll.FDS(A107,"FE_ESTIMATE(EPS,MEAN,QTR_ROLL,-0,0,,,'')")</f>
        <v>3.86</v>
      </c>
    </row>
    <row r="108" spans="1:6" x14ac:dyDescent="0.45">
      <c r="A108" t="s">
        <v>105</v>
      </c>
      <c r="B108" t="str" cm="1">
        <f t="array" ref="B108">_xll.FDS(A108,"FG_COMPANY_NAME")</f>
        <v>Cooper Companies, Inc.</v>
      </c>
      <c r="C108" t="s">
        <v>507</v>
      </c>
      <c r="D108" s="2" cm="1">
        <f t="array" ref="D108">_xll.FDS(A108,"JULIAN(FF_EPS(QTR_R,0).dates)")</f>
        <v>46052</v>
      </c>
      <c r="E108" cm="1">
        <f t="array" ref="E108">_xll.FDS(A108,"FF_EPS(QTR_R,0)")</f>
        <v>0.66500000000000004</v>
      </c>
      <c r="F108" cm="1">
        <f t="array" ref="F108">_xll.FDS(A108,"FE_ESTIMATE(EPS,MEAN,QTR_ROLL,-0,0,,,'')")</f>
        <v>1.1000000000000001</v>
      </c>
    </row>
    <row r="109" spans="1:6" x14ac:dyDescent="0.45">
      <c r="A109" t="s">
        <v>106</v>
      </c>
      <c r="B109" t="str" cm="1">
        <f t="array" ref="B109">_xll.FDS(A109,"FG_COMPANY_NAME")</f>
        <v>ConocoPhillips</v>
      </c>
      <c r="C109" t="s">
        <v>515</v>
      </c>
      <c r="D109" s="2" cm="1">
        <f t="array" ref="D109">_xll.FDS(A109,"JULIAN(FF_EPS(QTR_R,0).dates)")</f>
        <v>46022</v>
      </c>
      <c r="E109" cm="1">
        <f t="array" ref="E109">_xll.FDS(A109,"FF_EPS(QTR_R,0)")</f>
        <v>1.1646000000000001</v>
      </c>
      <c r="F109" cm="1">
        <f t="array" ref="F109">_xll.FDS(A109,"FE_ESTIMATE(EPS,MEAN,QTR_ROLL,-0,0,,,'')")</f>
        <v>1.02</v>
      </c>
    </row>
    <row r="110" spans="1:6" x14ac:dyDescent="0.45">
      <c r="A110" t="s">
        <v>107</v>
      </c>
      <c r="B110" t="str" cm="1">
        <f t="array" ref="B110">_xll.FDS(A110,"FG_COMPANY_NAME")</f>
        <v>Cencora, Inc.</v>
      </c>
      <c r="C110" t="s">
        <v>507</v>
      </c>
      <c r="D110" s="2" cm="1">
        <f t="array" ref="D110">_xll.FDS(A110,"JULIAN(FF_EPS(QTR_R,0).dates)")</f>
        <v>46022</v>
      </c>
      <c r="E110" cm="1">
        <f t="array" ref="E110">_xll.FDS(A110,"FF_EPS(QTR_R,0)")</f>
        <v>2.8653</v>
      </c>
      <c r="F110" cm="1">
        <f t="array" ref="F110">_xll.FDS(A110,"FE_ESTIMATE(EPS,MEAN,QTR_ROLL,-0,0,,,'')")</f>
        <v>4.08</v>
      </c>
    </row>
    <row r="111" spans="1:6" x14ac:dyDescent="0.45">
      <c r="A111" t="s">
        <v>108</v>
      </c>
      <c r="B111" t="str" cm="1">
        <f t="array" ref="B111">_xll.FDS(A111,"FG_COMPANY_NAME")</f>
        <v>Costco Wholesale Corporation</v>
      </c>
      <c r="C111" t="s">
        <v>511</v>
      </c>
      <c r="D111" s="2" cm="1">
        <f t="array" ref="D111">_xll.FDS(A111,"JULIAN(FF_EPS(QTR_R,0).dates)")</f>
        <v>46080</v>
      </c>
      <c r="E111" cm="1">
        <f t="array" ref="E111">_xll.FDS(A111,"FF_EPS(QTR_R,0)")</f>
        <v>4.5789999999999997</v>
      </c>
      <c r="F111" cm="1">
        <f t="array" ref="F111">_xll.FDS(A111,"FE_ESTIMATE(EPS,MEAN,QTR_ROLL,-0,0,,,'')")</f>
        <v>4.58</v>
      </c>
    </row>
    <row r="112" spans="1:6" x14ac:dyDescent="0.45">
      <c r="A112" t="s">
        <v>109</v>
      </c>
      <c r="B112" t="str" cm="1">
        <f t="array" ref="B112">_xll.FDS(A112,"FG_COMPANY_NAME")</f>
        <v>Corpay, Inc.</v>
      </c>
      <c r="C112" t="s">
        <v>512</v>
      </c>
      <c r="D112" s="2" cm="1">
        <f t="array" ref="D112">_xll.FDS(A112,"JULIAN(FF_EPS(QTR_R,0).dates)")</f>
        <v>46022</v>
      </c>
      <c r="E112" cm="1">
        <f t="array" ref="E112">_xll.FDS(A112,"FF_EPS(QTR_R,0)")</f>
        <v>3.7717000000000001</v>
      </c>
      <c r="F112" cm="1">
        <f t="array" ref="F112">_xll.FDS(A112,"FE_ESTIMATE(EPS,MEAN,QTR_ROLL,-0,0,,,'')")</f>
        <v>6.04</v>
      </c>
    </row>
    <row r="113" spans="1:6" x14ac:dyDescent="0.45">
      <c r="A113" t="s">
        <v>110</v>
      </c>
      <c r="B113" t="str" cm="1">
        <f t="array" ref="B113">_xll.FDS(A113,"FG_COMPANY_NAME")</f>
        <v>Campbell's Company</v>
      </c>
      <c r="C113" t="s">
        <v>511</v>
      </c>
      <c r="D113" s="2" cm="1">
        <f t="array" ref="D113">_xll.FDS(A113,"JULIAN(FF_EPS(QTR_R,0).dates)")</f>
        <v>46052</v>
      </c>
      <c r="E113" cm="1">
        <f t="array" ref="E113">_xll.FDS(A113,"FF_EPS(QTR_R,0)")</f>
        <v>0.48499999999999999</v>
      </c>
      <c r="F113" cm="1">
        <f t="array" ref="F113">_xll.FDS(A113,"FE_ESTIMATE(EPS,MEAN,QTR_ROLL,-0,0,,,'')")</f>
        <v>0.51</v>
      </c>
    </row>
    <row r="114" spans="1:6" x14ac:dyDescent="0.45">
      <c r="A114" t="s">
        <v>111</v>
      </c>
      <c r="B114" t="str" cm="1">
        <f t="array" ref="B114">_xll.FDS(A114,"FG_COMPANY_NAME")</f>
        <v>Copart, Inc.</v>
      </c>
      <c r="C114" t="s">
        <v>512</v>
      </c>
      <c r="D114" s="2" cm="1">
        <f t="array" ref="D114">_xll.FDS(A114,"JULIAN(FF_EPS(QTR_R,0).dates)")</f>
        <v>46052</v>
      </c>
      <c r="E114" cm="1">
        <f t="array" ref="E114">_xll.FDS(A114,"FF_EPS(QTR_R,0)")</f>
        <v>0.35970000000000002</v>
      </c>
      <c r="F114" cm="1">
        <f t="array" ref="F114">_xll.FDS(A114,"FE_ESTIMATE(EPS,MEAN,QTR_ROLL,-0,0,,,'')")</f>
        <v>0.36</v>
      </c>
    </row>
    <row r="115" spans="1:6" x14ac:dyDescent="0.45">
      <c r="A115" t="s">
        <v>112</v>
      </c>
      <c r="B115" t="str" cm="1">
        <f t="array" ref="B115">_xll.FDS(A115,"FG_COMPANY_NAME")</f>
        <v>Camden Property Trust</v>
      </c>
      <c r="C115" t="s">
        <v>514</v>
      </c>
      <c r="D115" s="2" cm="1">
        <f t="array" ref="D115">_xll.FDS(A115,"JULIAN(FF_EPS(QTR_R,0).dates)")</f>
        <v>46022</v>
      </c>
      <c r="E115" cm="1">
        <f t="array" ref="E115">_xll.FDS(A115,"FF_EPS(QTR_R,0)")</f>
        <v>1.4335</v>
      </c>
      <c r="F115" cm="1">
        <f t="array" ref="F115">_xll.FDS(A115,"FE_ESTIMATE(EPS,MEAN,QTR_ROLL,-0,0,,,'')")</f>
        <v>1.44</v>
      </c>
    </row>
    <row r="116" spans="1:6" x14ac:dyDescent="0.45">
      <c r="A116" t="s">
        <v>113</v>
      </c>
      <c r="B116" t="str" cm="1">
        <f t="array" ref="B116">_xll.FDS(A116,"FG_COMPANY_NAME")</f>
        <v>Charles River Laboratories International, Inc.</v>
      </c>
      <c r="C116" t="s">
        <v>507</v>
      </c>
      <c r="D116" s="2" cm="1">
        <f t="array" ref="D116">_xll.FDS(A116,"JULIAN(FF_EPS(QTR_R,0).dates)")</f>
        <v>46022</v>
      </c>
      <c r="E116" cm="1">
        <f t="array" ref="E116">_xll.FDS(A116,"FF_EPS(QTR_R,0)")</f>
        <v>-5.6192000000000002</v>
      </c>
      <c r="F116" cm="1">
        <f t="array" ref="F116">_xll.FDS(A116,"FE_ESTIMATE(EPS,MEAN,QTR_ROLL,-0,0,,,'')")</f>
        <v>2.39</v>
      </c>
    </row>
    <row r="117" spans="1:6" x14ac:dyDescent="0.45">
      <c r="A117" t="s">
        <v>114</v>
      </c>
      <c r="B117" t="str" cm="1">
        <f t="array" ref="B117">_xll.FDS(A117,"FG_COMPANY_NAME")</f>
        <v>Salesforce, Inc.</v>
      </c>
      <c r="C117" t="s">
        <v>508</v>
      </c>
      <c r="D117" s="2" cm="1">
        <f t="array" ref="D117">_xll.FDS(A117,"JULIAN(FF_EPS(QTR_R,0).dates)")</f>
        <v>46052</v>
      </c>
      <c r="E117" cm="1">
        <f t="array" ref="E117">_xll.FDS(A117,"FF_EPS(QTR_R,0)")</f>
        <v>2.0670000000000002</v>
      </c>
      <c r="F117" cm="1">
        <f t="array" ref="F117">_xll.FDS(A117,"FE_ESTIMATE(EPS,MEAN,QTR_ROLL,-0,0,,,'')")</f>
        <v>3.81</v>
      </c>
    </row>
    <row r="118" spans="1:6" x14ac:dyDescent="0.45">
      <c r="A118" t="s">
        <v>115</v>
      </c>
      <c r="B118" t="str" cm="1">
        <f t="array" ref="B118">_xll.FDS(A118,"FG_COMPANY_NAME")</f>
        <v>CrowdStrike Holdings, Inc. Class A</v>
      </c>
      <c r="C118" t="s">
        <v>508</v>
      </c>
      <c r="D118" s="2" cm="1">
        <f t="array" ref="D118">_xll.FDS(A118,"JULIAN(FF_EPS(QTR_R,0).dates)")</f>
        <v>46052</v>
      </c>
      <c r="E118" cm="1">
        <f t="array" ref="E118">_xll.FDS(A118,"FF_EPS(QTR_R,0)")</f>
        <v>0.14990000000000001</v>
      </c>
      <c r="F118" cm="1">
        <f t="array" ref="F118">_xll.FDS(A118,"FE_ESTIMATE(EPS,MEAN,QTR_ROLL,-0,0,,,'')")</f>
        <v>1.1200000000000001</v>
      </c>
    </row>
    <row r="119" spans="1:6" x14ac:dyDescent="0.45">
      <c r="A119" t="s">
        <v>116</v>
      </c>
      <c r="B119" t="str" cm="1">
        <f t="array" ref="B119">_xll.FDS(A119,"FG_COMPANY_NAME")</f>
        <v>Cisco Systems, Inc.</v>
      </c>
      <c r="C119" t="s">
        <v>508</v>
      </c>
      <c r="D119" s="2" cm="1">
        <f t="array" ref="D119">_xll.FDS(A119,"JULIAN(FF_EPS(QTR_R,0).dates)")</f>
        <v>46052</v>
      </c>
      <c r="E119" cm="1">
        <f t="array" ref="E119">_xll.FDS(A119,"FF_EPS(QTR_R,0)")</f>
        <v>0.79690000000000005</v>
      </c>
      <c r="F119" cm="1">
        <f t="array" ref="F119">_xll.FDS(A119,"FE_ESTIMATE(EPS,MEAN,QTR_ROLL,-0,0,,,'')")</f>
        <v>1.04</v>
      </c>
    </row>
    <row r="120" spans="1:6" x14ac:dyDescent="0.45">
      <c r="A120" t="s">
        <v>117</v>
      </c>
      <c r="B120" t="str" cm="1">
        <f t="array" ref="B120">_xll.FDS(A120,"FG_COMPANY_NAME")</f>
        <v>CoStar Group, Inc.</v>
      </c>
      <c r="C120" t="s">
        <v>514</v>
      </c>
      <c r="D120" s="2" cm="1">
        <f t="array" ref="D120">_xll.FDS(A120,"JULIAN(FF_EPS(QTR_R,0).dates)")</f>
        <v>46022</v>
      </c>
      <c r="E120" cm="1">
        <f t="array" ref="E120">_xll.FDS(A120,"FF_EPS(QTR_R,0)")</f>
        <v>0.112</v>
      </c>
      <c r="F120" cm="1">
        <f t="array" ref="F120">_xll.FDS(A120,"FE_ESTIMATE(EPS,MEAN,QTR_ROLL,-0,0,,,'')")</f>
        <v>0.31</v>
      </c>
    </row>
    <row r="121" spans="1:6" x14ac:dyDescent="0.45">
      <c r="A121" t="s">
        <v>118</v>
      </c>
      <c r="B121" t="str" cm="1">
        <f t="array" ref="B121">_xll.FDS(A121,"FG_COMPANY_NAME")</f>
        <v>CSX Corporation</v>
      </c>
      <c r="C121" t="s">
        <v>512</v>
      </c>
      <c r="D121" s="2" cm="1">
        <f t="array" ref="D121">_xll.FDS(A121,"JULIAN(FF_EPS(QTR_R,0).dates)")</f>
        <v>46022</v>
      </c>
      <c r="E121" cm="1">
        <f t="array" ref="E121">_xll.FDS(A121,"FF_EPS(QTR_R,0)")</f>
        <v>0.38629999999999998</v>
      </c>
      <c r="F121" cm="1">
        <f t="array" ref="F121">_xll.FDS(A121,"FE_ESTIMATE(EPS,MEAN,QTR_ROLL,-0,0,,,'')")</f>
        <v>0.39</v>
      </c>
    </row>
    <row r="122" spans="1:6" x14ac:dyDescent="0.45">
      <c r="A122" t="s">
        <v>119</v>
      </c>
      <c r="B122" t="str" cm="1">
        <f t="array" ref="B122">_xll.FDS(A122,"FG_COMPANY_NAME")</f>
        <v>Cintas Corporation</v>
      </c>
      <c r="C122" t="s">
        <v>512</v>
      </c>
      <c r="D122" s="2" cm="1">
        <f t="array" ref="D122">_xll.FDS(A122,"JULIAN(FF_EPS(QTR_R,0).dates)")</f>
        <v>46080</v>
      </c>
      <c r="E122" cm="1">
        <f t="array" ref="E122">_xll.FDS(A122,"FF_EPS(QTR_R,0)")</f>
        <v>1.2416</v>
      </c>
      <c r="F122" cm="1">
        <f t="array" ref="F122">_xll.FDS(A122,"FE_ESTIMATE(EPS,MEAN,QTR_ROLL,-0,0,,,'')")</f>
        <v>1.24</v>
      </c>
    </row>
    <row r="123" spans="1:6" x14ac:dyDescent="0.45">
      <c r="A123" t="s">
        <v>120</v>
      </c>
      <c r="B123" t="str" cm="1">
        <f t="array" ref="B123">_xll.FDS(A123,"FG_COMPANY_NAME")</f>
        <v>Catalent Inc</v>
      </c>
      <c r="C123" t="s">
        <v>507</v>
      </c>
      <c r="D123" s="2" cm="1">
        <f t="array" ref="D123">_xll.FDS(A123,"JULIAN(FF_EPS(QTR_R,0).dates)")</f>
        <v>45565</v>
      </c>
      <c r="E123" cm="1">
        <f t="array" ref="E123">_xll.FDS(A123,"FF_EPS(QTR_R,0)")</f>
        <v>-0.70879999999999999</v>
      </c>
      <c r="F123" t="e" cm="1">
        <f t="array" ref="F123">_xll.FDS(A123,"FE_ESTIMATE(EPS,MEAN,QTR_ROLL,-0,0,,,'')")</f>
        <v>#N/A</v>
      </c>
    </row>
    <row r="124" spans="1:6" x14ac:dyDescent="0.45">
      <c r="A124" t="s">
        <v>121</v>
      </c>
      <c r="B124" t="str" cm="1">
        <f t="array" ref="B124">_xll.FDS(A124,"FG_COMPANY_NAME")</f>
        <v>Coterra Energy Inc.</v>
      </c>
      <c r="C124" t="s">
        <v>515</v>
      </c>
      <c r="D124" s="2" cm="1">
        <f t="array" ref="D124">_xll.FDS(A124,"JULIAN(FF_EPS(QTR_R,0).dates)")</f>
        <v>46022</v>
      </c>
      <c r="E124" cm="1">
        <f t="array" ref="E124">_xll.FDS(A124,"FF_EPS(QTR_R,0)")</f>
        <v>0.48170000000000002</v>
      </c>
      <c r="F124" cm="1">
        <f t="array" ref="F124">_xll.FDS(A124,"FE_ESTIMATE(EPS,MEAN,QTR_ROLL,-0,0,,,'')")</f>
        <v>0.39</v>
      </c>
    </row>
    <row r="125" spans="1:6" x14ac:dyDescent="0.45">
      <c r="A125" t="s">
        <v>122</v>
      </c>
      <c r="B125" t="str" cm="1">
        <f t="array" ref="B125">_xll.FDS(A125,"FG_COMPANY_NAME")</f>
        <v>Cognizant Technology Solutions Corporation Class A</v>
      </c>
      <c r="C125" t="s">
        <v>508</v>
      </c>
      <c r="D125" s="2" cm="1">
        <f t="array" ref="D125">_xll.FDS(A125,"JULIAN(FF_EPS(QTR_R,0).dates)")</f>
        <v>46022</v>
      </c>
      <c r="E125" cm="1">
        <f t="array" ref="E125">_xll.FDS(A125,"FF_EPS(QTR_R,0)")</f>
        <v>1.3444</v>
      </c>
      <c r="F125" cm="1">
        <f t="array" ref="F125">_xll.FDS(A125,"FE_ESTIMATE(EPS,MEAN,QTR_ROLL,-0,0,,,'')")</f>
        <v>1.35</v>
      </c>
    </row>
    <row r="126" spans="1:6" x14ac:dyDescent="0.45">
      <c r="A126" t="s">
        <v>123</v>
      </c>
      <c r="B126" t="str" cm="1">
        <f t="array" ref="B126">_xll.FDS(A126,"FG_COMPANY_NAME")</f>
        <v>Corteva Inc</v>
      </c>
      <c r="C126" t="s">
        <v>513</v>
      </c>
      <c r="D126" s="2" cm="1">
        <f t="array" ref="D126">_xll.FDS(A126,"JULIAN(FF_EPS(QTR_R,0).dates)")</f>
        <v>46022</v>
      </c>
      <c r="E126" cm="1">
        <f t="array" ref="E126">_xll.FDS(A126,"FF_EPS(QTR_R,0)")</f>
        <v>-0.81810000000000005</v>
      </c>
      <c r="F126" cm="1">
        <f t="array" ref="F126">_xll.FDS(A126,"FE_ESTIMATE(EPS,MEAN,QTR_ROLL,-0,0,,,'')")</f>
        <v>0.22</v>
      </c>
    </row>
    <row r="127" spans="1:6" x14ac:dyDescent="0.45">
      <c r="A127" t="s">
        <v>124</v>
      </c>
      <c r="B127" t="str" cm="1">
        <f t="array" ref="B127">_xll.FDS(A127,"FG_COMPANY_NAME")</f>
        <v>CVS Health Corporation</v>
      </c>
      <c r="C127" t="s">
        <v>507</v>
      </c>
      <c r="D127" s="2" cm="1">
        <f t="array" ref="D127">_xll.FDS(A127,"JULIAN(FF_EPS(QTR_R,0).dates)")</f>
        <v>46022</v>
      </c>
      <c r="E127" cm="1">
        <f t="array" ref="E127">_xll.FDS(A127,"FF_EPS(QTR_R,0)")</f>
        <v>2.3046000000000002</v>
      </c>
      <c r="F127" cm="1">
        <f t="array" ref="F127">_xll.FDS(A127,"FE_ESTIMATE(EPS,MEAN,QTR_ROLL,-0,0,,,'')")</f>
        <v>1.0900000000000001</v>
      </c>
    </row>
    <row r="128" spans="1:6" x14ac:dyDescent="0.45">
      <c r="A128" t="s">
        <v>125</v>
      </c>
      <c r="B128" t="str" cm="1">
        <f t="array" ref="B128">_xll.FDS(A128,"FG_COMPANY_NAME")</f>
        <v>Chevron Corporation</v>
      </c>
      <c r="C128" t="s">
        <v>515</v>
      </c>
      <c r="D128" s="2" cm="1">
        <f t="array" ref="D128">_xll.FDS(A128,"JULIAN(FF_EPS(QTR_R,0).dates)")</f>
        <v>46022</v>
      </c>
      <c r="E128" cm="1">
        <f t="array" ref="E128">_xll.FDS(A128,"FF_EPS(QTR_R,0)")</f>
        <v>1.3871</v>
      </c>
      <c r="F128" cm="1">
        <f t="array" ref="F128">_xll.FDS(A128,"FE_ESTIMATE(EPS,MEAN,QTR_ROLL,-0,0,,,'')")</f>
        <v>1.52</v>
      </c>
    </row>
    <row r="129" spans="1:6" x14ac:dyDescent="0.45">
      <c r="A129" t="s">
        <v>126</v>
      </c>
      <c r="B129" t="str" cm="1">
        <f t="array" ref="B129">_xll.FDS(A129,"FG_COMPANY_NAME")</f>
        <v>Caesars Entertainment, Inc.</v>
      </c>
      <c r="C129" t="s">
        <v>509</v>
      </c>
      <c r="D129" s="2" cm="1">
        <f t="array" ref="D129">_xll.FDS(A129,"JULIAN(FF_EPS(QTR_R,0).dates)")</f>
        <v>46022</v>
      </c>
      <c r="E129" cm="1">
        <f t="array" ref="E129">_xll.FDS(A129,"FF_EPS(QTR_R,0)")</f>
        <v>-1.2315</v>
      </c>
      <c r="F129" cm="1">
        <f t="array" ref="F129">_xll.FDS(A129,"FE_ESTIMATE(EPS,MEAN,QTR_ROLL,-0,0,,,'')")</f>
        <v>-1.23</v>
      </c>
    </row>
    <row r="130" spans="1:6" x14ac:dyDescent="0.45">
      <c r="A130" t="s">
        <v>127</v>
      </c>
      <c r="B130" t="str" cm="1">
        <f t="array" ref="B130">_xll.FDS(A130,"FG_COMPANY_NAME")</f>
        <v>Dominion Energy Inc</v>
      </c>
      <c r="C130" t="s">
        <v>505</v>
      </c>
      <c r="D130" s="2" cm="1">
        <f t="array" ref="D130">_xll.FDS(A130,"JULIAN(FF_EPS(QTR_R,0).dates)")</f>
        <v>46022</v>
      </c>
      <c r="E130" cm="1">
        <f t="array" ref="E130">_xll.FDS(A130,"FF_EPS(QTR_R,0)")</f>
        <v>0.6462</v>
      </c>
      <c r="F130" cm="1">
        <f t="array" ref="F130">_xll.FDS(A130,"FE_ESTIMATE(EPS,MEAN,QTR_ROLL,-0,0,,,'')")</f>
        <v>0.68</v>
      </c>
    </row>
    <row r="131" spans="1:6" x14ac:dyDescent="0.45">
      <c r="A131" t="s">
        <v>128</v>
      </c>
      <c r="B131" t="str" cm="1">
        <f t="array" ref="B131">_xll.FDS(A131,"FG_COMPANY_NAME")</f>
        <v>Delta Air Lines, Inc.</v>
      </c>
      <c r="C131" t="s">
        <v>512</v>
      </c>
      <c r="D131" s="2" cm="1">
        <f t="array" ref="D131">_xll.FDS(A131,"JULIAN(FF_EPS(QTR_R,0).dates)")</f>
        <v>46022</v>
      </c>
      <c r="E131" cm="1">
        <f t="array" ref="E131">_xll.FDS(A131,"FF_EPS(QTR_R,0)")</f>
        <v>1.8582000000000001</v>
      </c>
      <c r="F131" cm="1">
        <f t="array" ref="F131">_xll.FDS(A131,"FE_ESTIMATE(EPS,MEAN,QTR_ROLL,-0,0,,,'')")</f>
        <v>1.55</v>
      </c>
    </row>
    <row r="132" spans="1:6" x14ac:dyDescent="0.45">
      <c r="A132" t="s">
        <v>129</v>
      </c>
      <c r="B132" t="str" cm="1">
        <f t="array" ref="B132">_xll.FDS(A132,"FG_COMPANY_NAME")</f>
        <v>Dayforce, Inc.</v>
      </c>
      <c r="C132" t="s">
        <v>512</v>
      </c>
      <c r="D132" s="2" cm="1">
        <f t="array" ref="D132">_xll.FDS(A132,"JULIAN(FF_EPS(QTR_R,0).dates)")</f>
        <v>45930</v>
      </c>
      <c r="E132" cm="1">
        <f t="array" ref="E132">_xll.FDS(A132,"FF_EPS(QTR_R,0)")</f>
        <v>-1.2315</v>
      </c>
      <c r="F132" cm="1">
        <f t="array" ref="F132">_xll.FDS(A132,"FE_ESTIMATE(EPS,MEAN,QTR_ROLL,-0,0,,,'')")</f>
        <v>0.37</v>
      </c>
    </row>
    <row r="133" spans="1:6" x14ac:dyDescent="0.45">
      <c r="A133" t="s">
        <v>130</v>
      </c>
      <c r="B133" t="str" cm="1">
        <f t="array" ref="B133">_xll.FDS(A133,"FG_COMPANY_NAME")</f>
        <v>DuPont de Nemours, Inc.</v>
      </c>
      <c r="C133" t="s">
        <v>513</v>
      </c>
      <c r="D133" s="2" cm="1">
        <f t="array" ref="D133">_xll.FDS(A133,"JULIAN(FF_EPS(QTR_R,0).dates)")</f>
        <v>46022</v>
      </c>
      <c r="E133" cm="1">
        <f t="array" ref="E133">_xll.FDS(A133,"FF_EPS(QTR_R,0)")</f>
        <v>-0.30459999999999998</v>
      </c>
      <c r="F133" cm="1">
        <f t="array" ref="F133">_xll.FDS(A133,"FE_ESTIMATE(EPS,MEAN,QTR_ROLL,-0,0,,,'')")</f>
        <v>0.46</v>
      </c>
    </row>
    <row r="134" spans="1:6" x14ac:dyDescent="0.45">
      <c r="A134" t="s">
        <v>131</v>
      </c>
      <c r="B134" t="str" cm="1">
        <f t="array" ref="B134">_xll.FDS(A134,"FG_COMPANY_NAME")</f>
        <v>Deere &amp; Company</v>
      </c>
      <c r="C134" t="s">
        <v>512</v>
      </c>
      <c r="D134" s="2" cm="1">
        <f t="array" ref="D134">_xll.FDS(A134,"JULIAN(FF_EPS(QTR_R,0).dates)")</f>
        <v>46052</v>
      </c>
      <c r="E134" cm="1">
        <f t="array" ref="E134">_xll.FDS(A134,"FF_EPS(QTR_R,0)")</f>
        <v>2.4216000000000002</v>
      </c>
      <c r="F134" cm="1">
        <f t="array" ref="F134">_xll.FDS(A134,"FE_ESTIMATE(EPS,MEAN,QTR_ROLL,-0,0,,,'')")</f>
        <v>2.42</v>
      </c>
    </row>
    <row r="135" spans="1:6" x14ac:dyDescent="0.45">
      <c r="A135" t="s">
        <v>132</v>
      </c>
      <c r="B135" t="str" cm="1">
        <f t="array" ref="B135">_xll.FDS(A135,"FG_COMPANY_NAME")</f>
        <v>Deckers Outdoor Corporation</v>
      </c>
      <c r="C135" t="s">
        <v>509</v>
      </c>
      <c r="D135" s="2" cm="1">
        <f t="array" ref="D135">_xll.FDS(A135,"JULIAN(FF_EPS(QTR_R,0).dates)")</f>
        <v>46022</v>
      </c>
      <c r="E135" cm="1">
        <f t="array" ref="E135">_xll.FDS(A135,"FF_EPS(QTR_R,0)")</f>
        <v>3.3346</v>
      </c>
      <c r="F135" cm="1">
        <f t="array" ref="F135">_xll.FDS(A135,"FE_ESTIMATE(EPS,MEAN,QTR_ROLL,-0,0,,,'')")</f>
        <v>3.33</v>
      </c>
    </row>
    <row r="136" spans="1:6" x14ac:dyDescent="0.45">
      <c r="A136" t="s">
        <v>133</v>
      </c>
      <c r="B136" t="str" cm="1">
        <f t="array" ref="B136">_xll.FDS(A136,"FG_COMPANY_NAME")</f>
        <v>Discover Financial Services</v>
      </c>
      <c r="C136" t="s">
        <v>510</v>
      </c>
      <c r="D136" s="2" cm="1">
        <f t="array" ref="D136">_xll.FDS(A136,"JULIAN(FF_EPS(QTR_R,0).dates)")</f>
        <v>45747</v>
      </c>
      <c r="E136" cm="1">
        <f t="array" ref="E136">_xll.FDS(A136,"FF_EPS(QTR_R,0)")</f>
        <v>4.2420999999999998</v>
      </c>
      <c r="F136" t="e" cm="1">
        <f t="array" ref="F136">_xll.FDS(A136,"FE_ESTIMATE(EPS,MEAN,QTR_ROLL,-0,0,,,'')")</f>
        <v>#N/A</v>
      </c>
    </row>
    <row r="137" spans="1:6" x14ac:dyDescent="0.45">
      <c r="A137" t="s">
        <v>134</v>
      </c>
      <c r="B137" t="str" cm="1">
        <f t="array" ref="B137">_xll.FDS(A137,"FG_COMPANY_NAME")</f>
        <v>Dollar General Corporation</v>
      </c>
      <c r="C137" t="s">
        <v>509</v>
      </c>
      <c r="D137" s="2" cm="1">
        <f t="array" ref="D137">_xll.FDS(A137,"JULIAN(FF_EPS(QTR_R,0).dates)")</f>
        <v>46052</v>
      </c>
      <c r="E137" cm="1">
        <f t="array" ref="E137">_xll.FDS(A137,"FF_EPS(QTR_R,0)")</f>
        <v>1.9261999999999999</v>
      </c>
      <c r="F137" cm="1">
        <f t="array" ref="F137">_xll.FDS(A137,"FE_ESTIMATE(EPS,MEAN,QTR_ROLL,-0,0,,,'')")</f>
        <v>1.93</v>
      </c>
    </row>
    <row r="138" spans="1:6" x14ac:dyDescent="0.45">
      <c r="A138" t="s">
        <v>135</v>
      </c>
      <c r="B138" t="str" cm="1">
        <f t="array" ref="B138">_xll.FDS(A138,"FG_COMPANY_NAME")</f>
        <v>Quest Diagnostics Incorporated</v>
      </c>
      <c r="C138" t="s">
        <v>507</v>
      </c>
      <c r="D138" s="2" cm="1">
        <f t="array" ref="D138">_xll.FDS(A138,"JULIAN(FF_EPS(QTR_R,0).dates)")</f>
        <v>46022</v>
      </c>
      <c r="E138" cm="1">
        <f t="array" ref="E138">_xll.FDS(A138,"FF_EPS(QTR_R,0)")</f>
        <v>2.1875</v>
      </c>
      <c r="F138" cm="1">
        <f t="array" ref="F138">_xll.FDS(A138,"FE_ESTIMATE(EPS,MEAN,QTR_ROLL,-0,0,,,'')")</f>
        <v>2.42</v>
      </c>
    </row>
    <row r="139" spans="1:6" x14ac:dyDescent="0.45">
      <c r="A139" t="s">
        <v>136</v>
      </c>
      <c r="B139" t="str" cm="1">
        <f t="array" ref="B139">_xll.FDS(A139,"FG_COMPANY_NAME")</f>
        <v>D.R. Horton, Inc.</v>
      </c>
      <c r="C139" t="s">
        <v>509</v>
      </c>
      <c r="D139" s="2" cm="1">
        <f t="array" ref="D139">_xll.FDS(A139,"JULIAN(FF_EPS(QTR_R,0).dates)")</f>
        <v>46022</v>
      </c>
      <c r="E139" cm="1">
        <f t="array" ref="E139">_xll.FDS(A139,"FF_EPS(QTR_R,0)")</f>
        <v>2.028</v>
      </c>
      <c r="F139" cm="1">
        <f t="array" ref="F139">_xll.FDS(A139,"FE_ESTIMATE(EPS,MEAN,QTR_ROLL,-0,0,,,'')")</f>
        <v>2.0299999999999998</v>
      </c>
    </row>
    <row r="140" spans="1:6" x14ac:dyDescent="0.45">
      <c r="A140" t="s">
        <v>137</v>
      </c>
      <c r="B140" t="str" cm="1">
        <f t="array" ref="B140">_xll.FDS(A140,"FG_COMPANY_NAME")</f>
        <v>Danaher Corporation</v>
      </c>
      <c r="C140" t="s">
        <v>507</v>
      </c>
      <c r="D140" s="2" cm="1">
        <f t="array" ref="D140">_xll.FDS(A140,"JULIAN(FF_EPS(QTR_R,0).dates)")</f>
        <v>46022</v>
      </c>
      <c r="E140" cm="1">
        <f t="array" ref="E140">_xll.FDS(A140,"FF_EPS(QTR_R,0)")</f>
        <v>1.6835</v>
      </c>
      <c r="F140" cm="1">
        <f t="array" ref="F140">_xll.FDS(A140,"FE_ESTIMATE(EPS,MEAN,QTR_ROLL,-0,0,,,'')")</f>
        <v>2.23</v>
      </c>
    </row>
    <row r="141" spans="1:6" x14ac:dyDescent="0.45">
      <c r="A141" t="s">
        <v>138</v>
      </c>
      <c r="B141" t="str" cm="1">
        <f t="array" ref="B141">_xll.FDS(A141,"FG_COMPANY_NAME")</f>
        <v>Walt Disney Company</v>
      </c>
      <c r="C141" t="s">
        <v>516</v>
      </c>
      <c r="D141" s="2" cm="1">
        <f t="array" ref="D141">_xll.FDS(A141,"JULIAN(FF_EPS(QTR_R,0).dates)")</f>
        <v>46022</v>
      </c>
      <c r="E141" cm="1">
        <f t="array" ref="E141">_xll.FDS(A141,"FF_EPS(QTR_R,0)")</f>
        <v>1.3395999999999999</v>
      </c>
      <c r="F141" cm="1">
        <f t="array" ref="F141">_xll.FDS(A141,"FE_ESTIMATE(EPS,MEAN,QTR_ROLL,-0,0,,,'')")</f>
        <v>1.63</v>
      </c>
    </row>
    <row r="142" spans="1:6" x14ac:dyDescent="0.45">
      <c r="A142" t="s">
        <v>139</v>
      </c>
      <c r="B142" t="str" cm="1">
        <f t="array" ref="B142">_xll.FDS(A142,"FG_COMPANY_NAME")</f>
        <v>Dollar Tree, Inc.</v>
      </c>
      <c r="C142" t="s">
        <v>509</v>
      </c>
      <c r="D142" s="2" cm="1">
        <f t="array" ref="D142">_xll.FDS(A142,"JULIAN(FF_EPS(QTR_R,0).dates)")</f>
        <v>46052</v>
      </c>
      <c r="E142" cm="1">
        <f t="array" ref="E142">_xll.FDS(A142,"FF_EPS(QTR_R,0)")</f>
        <v>2.5329999999999999</v>
      </c>
      <c r="F142" cm="1">
        <f t="array" ref="F142">_xll.FDS(A142,"FE_ESTIMATE(EPS,MEAN,QTR_ROLL,-0,0,,,'')")</f>
        <v>2.56</v>
      </c>
    </row>
    <row r="143" spans="1:6" x14ac:dyDescent="0.45">
      <c r="A143" t="s">
        <v>140</v>
      </c>
      <c r="B143" t="str" cm="1">
        <f t="array" ref="B143">_xll.FDS(A143,"FG_COMPANY_NAME")</f>
        <v>Dover Corporation</v>
      </c>
      <c r="C143" t="s">
        <v>512</v>
      </c>
      <c r="D143" s="2" cm="1">
        <f t="array" ref="D143">_xll.FDS(A143,"JULIAN(FF_EPS(QTR_R,0).dates)")</f>
        <v>46022</v>
      </c>
      <c r="E143" cm="1">
        <f t="array" ref="E143">_xll.FDS(A143,"FF_EPS(QTR_R,0)")</f>
        <v>2.0615999999999999</v>
      </c>
      <c r="F143" cm="1">
        <f t="array" ref="F143">_xll.FDS(A143,"FE_ESTIMATE(EPS,MEAN,QTR_ROLL,-0,0,,,'')")</f>
        <v>2.5099999999999998</v>
      </c>
    </row>
    <row r="144" spans="1:6" x14ac:dyDescent="0.45">
      <c r="A144" t="s">
        <v>141</v>
      </c>
      <c r="B144" t="str" cm="1">
        <f t="array" ref="B144">_xll.FDS(A144,"FG_COMPANY_NAME")</f>
        <v>Dow, Inc.</v>
      </c>
      <c r="C144" t="s">
        <v>513</v>
      </c>
      <c r="D144" s="2" cm="1">
        <f t="array" ref="D144">_xll.FDS(A144,"JULIAN(FF_EPS(QTR_R,0).dates)")</f>
        <v>46022</v>
      </c>
      <c r="E144" cm="1">
        <f t="array" ref="E144">_xll.FDS(A144,"FF_EPS(QTR_R,0)")</f>
        <v>-2.1511999999999998</v>
      </c>
      <c r="F144" cm="1">
        <f t="array" ref="F144">_xll.FDS(A144,"FE_ESTIMATE(EPS,MEAN,QTR_ROLL,-0,0,,,'')")</f>
        <v>-0.34</v>
      </c>
    </row>
    <row r="145" spans="1:6" x14ac:dyDescent="0.45">
      <c r="A145" t="s">
        <v>142</v>
      </c>
      <c r="B145" t="str" cm="1">
        <f t="array" ref="B145">_xll.FDS(A145,"FG_COMPANY_NAME")</f>
        <v>Domino's Pizza, Inc.</v>
      </c>
      <c r="C145" t="s">
        <v>509</v>
      </c>
      <c r="D145" s="2" cm="1">
        <f t="array" ref="D145">_xll.FDS(A145,"JULIAN(FF_EPS(QTR_R,0).dates)")</f>
        <v>46022</v>
      </c>
      <c r="E145" cm="1">
        <f t="array" ref="E145">_xll.FDS(A145,"FF_EPS(QTR_R,0)")</f>
        <v>5.3490000000000002</v>
      </c>
      <c r="F145" cm="1">
        <f t="array" ref="F145">_xll.FDS(A145,"FE_ESTIMATE(EPS,MEAN,QTR_ROLL,-0,0,,,'')")</f>
        <v>5.35</v>
      </c>
    </row>
    <row r="146" spans="1:6" x14ac:dyDescent="0.45">
      <c r="A146" t="s">
        <v>143</v>
      </c>
      <c r="B146" t="str" cm="1">
        <f t="array" ref="B146">_xll.FDS(A146,"FG_COMPANY_NAME")</f>
        <v>Darden Restaurants, Inc.</v>
      </c>
      <c r="C146" t="s">
        <v>509</v>
      </c>
      <c r="D146" s="2" cm="1">
        <f t="array" ref="D146">_xll.FDS(A146,"JULIAN(FF_EPS(QTR_R,0).dates)")</f>
        <v>46080</v>
      </c>
      <c r="E146" cm="1">
        <f t="array" ref="E146">_xll.FDS(A146,"FF_EPS(QTR_R,0)")</f>
        <v>2.65</v>
      </c>
      <c r="F146" cm="1">
        <f t="array" ref="F146">_xll.FDS(A146,"FE_ESTIMATE(EPS,MEAN,QTR_ROLL,-0,0,,,'')")</f>
        <v>2.95</v>
      </c>
    </row>
    <row r="147" spans="1:6" x14ac:dyDescent="0.45">
      <c r="A147" t="s">
        <v>144</v>
      </c>
      <c r="B147" t="str" cm="1">
        <f t="array" ref="B147">_xll.FDS(A147,"FG_COMPANY_NAME")</f>
        <v>DTE Energy Company</v>
      </c>
      <c r="C147" t="s">
        <v>505</v>
      </c>
      <c r="D147" s="2" cm="1">
        <f t="array" ref="D147">_xll.FDS(A147,"JULIAN(FF_EPS(QTR_R,0).dates)")</f>
        <v>46022</v>
      </c>
      <c r="E147" cm="1">
        <f t="array" ref="E147">_xll.FDS(A147,"FF_EPS(QTR_R,0)")</f>
        <v>1.7762</v>
      </c>
      <c r="F147" cm="1">
        <f t="array" ref="F147">_xll.FDS(A147,"FE_ESTIMATE(EPS,MEAN,QTR_ROLL,-0,0,,,'')")</f>
        <v>1.65</v>
      </c>
    </row>
    <row r="148" spans="1:6" x14ac:dyDescent="0.45">
      <c r="A148" t="s">
        <v>145</v>
      </c>
      <c r="B148" t="str" cm="1">
        <f t="array" ref="B148">_xll.FDS(A148,"FG_COMPANY_NAME")</f>
        <v>Duke Energy Corporation</v>
      </c>
      <c r="C148" t="s">
        <v>505</v>
      </c>
      <c r="D148" s="2" cm="1">
        <f t="array" ref="D148">_xll.FDS(A148,"JULIAN(FF_EPS(QTR_R,0).dates)")</f>
        <v>46022</v>
      </c>
      <c r="E148" cm="1">
        <f t="array" ref="E148">_xll.FDS(A148,"FF_EPS(QTR_R,0)")</f>
        <v>1.5025999999999999</v>
      </c>
      <c r="F148" cm="1">
        <f t="array" ref="F148">_xll.FDS(A148,"FE_ESTIMATE(EPS,MEAN,QTR_ROLL,-0,0,,,'')")</f>
        <v>1.5</v>
      </c>
    </row>
    <row r="149" spans="1:6" x14ac:dyDescent="0.45">
      <c r="A149" t="s">
        <v>146</v>
      </c>
      <c r="B149" t="str" cm="1">
        <f t="array" ref="B149">_xll.FDS(A149,"FG_COMPANY_NAME")</f>
        <v>DaVita Inc.</v>
      </c>
      <c r="C149" t="s">
        <v>507</v>
      </c>
      <c r="D149" s="2" cm="1">
        <f t="array" ref="D149">_xll.FDS(A149,"JULIAN(FF_EPS(QTR_R,0).dates)")</f>
        <v>46022</v>
      </c>
      <c r="E149" cm="1">
        <f t="array" ref="E149">_xll.FDS(A149,"FF_EPS(QTR_R,0)")</f>
        <v>2.9359000000000002</v>
      </c>
      <c r="F149" cm="1">
        <f t="array" ref="F149">_xll.FDS(A149,"FE_ESTIMATE(EPS,MEAN,QTR_ROLL,-0,0,,,'')")</f>
        <v>3.4</v>
      </c>
    </row>
    <row r="150" spans="1:6" x14ac:dyDescent="0.45">
      <c r="A150" t="s">
        <v>147</v>
      </c>
      <c r="B150" t="str" cm="1">
        <f t="array" ref="B150">_xll.FDS(A150,"FG_COMPANY_NAME")</f>
        <v>Devon Energy Corporation</v>
      </c>
      <c r="C150" t="s">
        <v>515</v>
      </c>
      <c r="D150" s="2" cm="1">
        <f t="array" ref="D150">_xll.FDS(A150,"JULIAN(FF_EPS(QTR_R,0).dates)")</f>
        <v>46022</v>
      </c>
      <c r="E150" cm="1">
        <f t="array" ref="E150">_xll.FDS(A150,"FF_EPS(QTR_R,0)")</f>
        <v>0.90349999999999997</v>
      </c>
      <c r="F150" cm="1">
        <f t="array" ref="F150">_xll.FDS(A150,"FE_ESTIMATE(EPS,MEAN,QTR_ROLL,-0,0,,,'')")</f>
        <v>0.82</v>
      </c>
    </row>
    <row r="151" spans="1:6" x14ac:dyDescent="0.45">
      <c r="A151" t="s">
        <v>148</v>
      </c>
      <c r="B151" t="str" cm="1">
        <f t="array" ref="B151">_xll.FDS(A151,"FG_COMPANY_NAME")</f>
        <v>DexCom, Inc.</v>
      </c>
      <c r="C151" t="s">
        <v>507</v>
      </c>
      <c r="D151" s="2" cm="1">
        <f t="array" ref="D151">_xll.FDS(A151,"JULIAN(FF_EPS(QTR_R,0).dates)")</f>
        <v>46022</v>
      </c>
      <c r="E151" cm="1">
        <f t="array" ref="E151">_xll.FDS(A151,"FF_EPS(QTR_R,0)")</f>
        <v>0.67610000000000003</v>
      </c>
      <c r="F151" cm="1">
        <f t="array" ref="F151">_xll.FDS(A151,"FE_ESTIMATE(EPS,MEAN,QTR_ROLL,-0,0,,,'')")</f>
        <v>0.68</v>
      </c>
    </row>
    <row r="152" spans="1:6" x14ac:dyDescent="0.45">
      <c r="A152" t="s">
        <v>149</v>
      </c>
      <c r="B152" t="str" cm="1">
        <f t="array" ref="B152">_xll.FDS(A152,"FG_COMPANY_NAME")</f>
        <v>Electronic Arts Inc.</v>
      </c>
      <c r="C152" t="s">
        <v>516</v>
      </c>
      <c r="D152" s="2" cm="1">
        <f t="array" ref="D152">_xll.FDS(A152,"JULIAN(FF_EPS(QTR_R,0).dates)")</f>
        <v>46022</v>
      </c>
      <c r="E152" cm="1">
        <f t="array" ref="E152">_xll.FDS(A152,"FF_EPS(QTR_R,0)")</f>
        <v>0.3478</v>
      </c>
      <c r="F152" cm="1">
        <f t="array" ref="F152">_xll.FDS(A152,"FE_ESTIMATE(EPS,MEAN,QTR_ROLL,-0,0,,,'')")</f>
        <v>4.8756919999999999</v>
      </c>
    </row>
    <row r="153" spans="1:6" x14ac:dyDescent="0.45">
      <c r="A153" t="s">
        <v>150</v>
      </c>
      <c r="B153" t="str" cm="1">
        <f t="array" ref="B153">_xll.FDS(A153,"FG_COMPANY_NAME")</f>
        <v>eBay Inc.</v>
      </c>
      <c r="C153" t="s">
        <v>509</v>
      </c>
      <c r="D153" s="2" cm="1">
        <f t="array" ref="D153">_xll.FDS(A153,"JULIAN(FF_EPS(QTR_R,0).dates)")</f>
        <v>46022</v>
      </c>
      <c r="E153" cm="1">
        <f t="array" ref="E153">_xll.FDS(A153,"FF_EPS(QTR_R,0)")</f>
        <v>1.1477999999999999</v>
      </c>
      <c r="F153" cm="1">
        <f t="array" ref="F153">_xll.FDS(A153,"FE_ESTIMATE(EPS,MEAN,QTR_ROLL,-0,0,,,'')")</f>
        <v>1.41</v>
      </c>
    </row>
    <row r="154" spans="1:6" x14ac:dyDescent="0.45">
      <c r="A154" t="s">
        <v>151</v>
      </c>
      <c r="B154" t="str" cm="1">
        <f t="array" ref="B154">_xll.FDS(A154,"FG_COMPANY_NAME")</f>
        <v>Ecolab Inc.</v>
      </c>
      <c r="C154" t="s">
        <v>513</v>
      </c>
      <c r="D154" s="2" cm="1">
        <f t="array" ref="D154">_xll.FDS(A154,"JULIAN(FF_EPS(QTR_R,0).dates)")</f>
        <v>46022</v>
      </c>
      <c r="E154" cm="1">
        <f t="array" ref="E154">_xll.FDS(A154,"FF_EPS(QTR_R,0)")</f>
        <v>1.9842</v>
      </c>
      <c r="F154" cm="1">
        <f t="array" ref="F154">_xll.FDS(A154,"FE_ESTIMATE(EPS,MEAN,QTR_ROLL,-0,0,,,'')")</f>
        <v>2.08</v>
      </c>
    </row>
    <row r="155" spans="1:6" x14ac:dyDescent="0.45">
      <c r="A155" t="s">
        <v>152</v>
      </c>
      <c r="B155" t="str" cm="1">
        <f t="array" ref="B155">_xll.FDS(A155,"FG_COMPANY_NAME")</f>
        <v>Consolidated Edison, Inc.</v>
      </c>
      <c r="C155" t="s">
        <v>505</v>
      </c>
      <c r="D155" s="2" cm="1">
        <f t="array" ref="D155">_xll.FDS(A155,"JULIAN(FF_EPS(QTR_R,0).dates)")</f>
        <v>46022</v>
      </c>
      <c r="E155" cm="1">
        <f t="array" ref="E155">_xll.FDS(A155,"FF_EPS(QTR_R,0)")</f>
        <v>0.82</v>
      </c>
      <c r="F155" cm="1">
        <f t="array" ref="F155">_xll.FDS(A155,"FE_ESTIMATE(EPS,MEAN,QTR_ROLL,-0,0,,,'')")</f>
        <v>0.89</v>
      </c>
    </row>
    <row r="156" spans="1:6" x14ac:dyDescent="0.45">
      <c r="A156" t="s">
        <v>153</v>
      </c>
      <c r="B156" t="str" cm="1">
        <f t="array" ref="B156">_xll.FDS(A156,"FG_COMPANY_NAME")</f>
        <v>Equifax Inc.</v>
      </c>
      <c r="C156" t="s">
        <v>512</v>
      </c>
      <c r="D156" s="2" cm="1">
        <f t="array" ref="D156">_xll.FDS(A156,"JULIAN(FF_EPS(QTR_R,0).dates)")</f>
        <v>46022</v>
      </c>
      <c r="E156" cm="1">
        <f t="array" ref="E156">_xll.FDS(A156,"FF_EPS(QTR_R,0)")</f>
        <v>1.4374</v>
      </c>
      <c r="F156" cm="1">
        <f t="array" ref="F156">_xll.FDS(A156,"FE_ESTIMATE(EPS,MEAN,QTR_ROLL,-0,0,,,'')")</f>
        <v>2.09</v>
      </c>
    </row>
    <row r="157" spans="1:6" x14ac:dyDescent="0.45">
      <c r="A157" t="s">
        <v>154</v>
      </c>
      <c r="B157" t="str" cm="1">
        <f t="array" ref="B157">_xll.FDS(A157,"FG_COMPANY_NAME")</f>
        <v>Edison International</v>
      </c>
      <c r="C157" t="s">
        <v>505</v>
      </c>
      <c r="D157" s="2" cm="1">
        <f t="array" ref="D157">_xll.FDS(A157,"JULIAN(FF_EPS(QTR_R,0).dates)")</f>
        <v>46022</v>
      </c>
      <c r="E157" cm="1">
        <f t="array" ref="E157">_xll.FDS(A157,"FF_EPS(QTR_R,0)")</f>
        <v>4.8000999999999996</v>
      </c>
      <c r="F157" cm="1">
        <f t="array" ref="F157">_xll.FDS(A157,"FE_ESTIMATE(EPS,MEAN,QTR_ROLL,-0,0,,,'')")</f>
        <v>1.86</v>
      </c>
    </row>
    <row r="158" spans="1:6" x14ac:dyDescent="0.45">
      <c r="A158" t="s">
        <v>155</v>
      </c>
      <c r="B158" t="str" cm="1">
        <f t="array" ref="B158">_xll.FDS(A158,"FG_COMPANY_NAME")</f>
        <v>Estee Lauder Companies Inc. Class A</v>
      </c>
      <c r="C158" t="s">
        <v>511</v>
      </c>
      <c r="D158" s="2" cm="1">
        <f t="array" ref="D158">_xll.FDS(A158,"JULIAN(FF_EPS(QTR_R,0).dates)")</f>
        <v>46022</v>
      </c>
      <c r="E158" cm="1">
        <f t="array" ref="E158">_xll.FDS(A158,"FF_EPS(QTR_R,0)")</f>
        <v>0.44409999999999999</v>
      </c>
      <c r="F158" cm="1">
        <f t="array" ref="F158">_xll.FDS(A158,"FE_ESTIMATE(EPS,MEAN,QTR_ROLL,-0,0,,,'')")</f>
        <v>0.87</v>
      </c>
    </row>
    <row r="159" spans="1:6" x14ac:dyDescent="0.45">
      <c r="A159" t="s">
        <v>156</v>
      </c>
      <c r="B159" t="str" cm="1">
        <f t="array" ref="B159">_xll.FDS(A159,"FG_COMPANY_NAME")</f>
        <v>Eastman Chemical Company</v>
      </c>
      <c r="C159" t="s">
        <v>513</v>
      </c>
      <c r="D159" s="2" cm="1">
        <f t="array" ref="D159">_xll.FDS(A159,"JULIAN(FF_EPS(QTR_R,0).dates)")</f>
        <v>46022</v>
      </c>
      <c r="E159" cm="1">
        <f t="array" ref="E159">_xll.FDS(A159,"FF_EPS(QTR_R,0)")</f>
        <v>0.91379999999999995</v>
      </c>
      <c r="F159" cm="1">
        <f t="array" ref="F159">_xll.FDS(A159,"FE_ESTIMATE(EPS,MEAN,QTR_ROLL,-0,0,,,'')")</f>
        <v>0.75</v>
      </c>
    </row>
    <row r="160" spans="1:6" x14ac:dyDescent="0.45">
      <c r="A160" t="s">
        <v>157</v>
      </c>
      <c r="B160" t="str" cm="1">
        <f t="array" ref="B160">_xll.FDS(A160,"FG_COMPANY_NAME")</f>
        <v>Emerson Electric Co.</v>
      </c>
      <c r="C160" t="s">
        <v>512</v>
      </c>
      <c r="D160" s="2" cm="1">
        <f t="array" ref="D160">_xll.FDS(A160,"JULIAN(FF_EPS(QTR_R,0).dates)")</f>
        <v>46022</v>
      </c>
      <c r="E160" cm="1">
        <f t="array" ref="E160">_xll.FDS(A160,"FF_EPS(QTR_R,0)")</f>
        <v>1.0725</v>
      </c>
      <c r="F160" cm="1">
        <f t="array" ref="F160">_xll.FDS(A160,"FE_ESTIMATE(EPS,MEAN,QTR_ROLL,-0,0,,,'')")</f>
        <v>1.46</v>
      </c>
    </row>
    <row r="161" spans="1:6" x14ac:dyDescent="0.45">
      <c r="A161" t="s">
        <v>158</v>
      </c>
      <c r="B161" t="str" cm="1">
        <f t="array" ref="B161">_xll.FDS(A161,"FG_COMPANY_NAME")</f>
        <v>Enphase Energy, Inc.</v>
      </c>
      <c r="C161" t="s">
        <v>508</v>
      </c>
      <c r="D161" s="2" cm="1">
        <f t="array" ref="D161">_xll.FDS(A161,"JULIAN(FF_EPS(QTR_R,0).dates)")</f>
        <v>46022</v>
      </c>
      <c r="E161" cm="1">
        <f t="array" ref="E161">_xll.FDS(A161,"FF_EPS(QTR_R,0)")</f>
        <v>0.29559999999999997</v>
      </c>
      <c r="F161" cm="1">
        <f t="array" ref="F161">_xll.FDS(A161,"FE_ESTIMATE(EPS,MEAN,QTR_ROLL,-0,0,,,'')")</f>
        <v>0.71</v>
      </c>
    </row>
    <row r="162" spans="1:6" x14ac:dyDescent="0.45">
      <c r="A162" t="s">
        <v>159</v>
      </c>
      <c r="B162" t="str" cm="1">
        <f t="array" ref="B162">_xll.FDS(A162,"FG_COMPANY_NAME")</f>
        <v>EOG Resources, Inc.</v>
      </c>
      <c r="C162" t="s">
        <v>515</v>
      </c>
      <c r="D162" s="2" cm="1">
        <f t="array" ref="D162">_xll.FDS(A162,"JULIAN(FF_EPS(QTR_R,0).dates)")</f>
        <v>46022</v>
      </c>
      <c r="E162" cm="1">
        <f t="array" ref="E162">_xll.FDS(A162,"FF_EPS(QTR_R,0)")</f>
        <v>1.3006</v>
      </c>
      <c r="F162" cm="1">
        <f t="array" ref="F162">_xll.FDS(A162,"FE_ESTIMATE(EPS,MEAN,QTR_ROLL,-0,0,,,'')")</f>
        <v>2.27</v>
      </c>
    </row>
    <row r="163" spans="1:6" x14ac:dyDescent="0.45">
      <c r="A163" t="s">
        <v>160</v>
      </c>
      <c r="B163" t="str" cm="1">
        <f t="array" ref="B163">_xll.FDS(A163,"FG_COMPANY_NAME")</f>
        <v>EPAM Systems, Inc.</v>
      </c>
      <c r="C163" t="s">
        <v>508</v>
      </c>
      <c r="D163" s="2" cm="1">
        <f t="array" ref="D163">_xll.FDS(A163,"JULIAN(FF_EPS(QTR_R,0).dates)")</f>
        <v>46022</v>
      </c>
      <c r="E163" cm="1">
        <f t="array" ref="E163">_xll.FDS(A163,"FF_EPS(QTR_R,0)")</f>
        <v>1.976</v>
      </c>
      <c r="F163" cm="1">
        <f t="array" ref="F163">_xll.FDS(A163,"FE_ESTIMATE(EPS,MEAN,QTR_ROLL,-0,0,,,'')")</f>
        <v>3.26</v>
      </c>
    </row>
    <row r="164" spans="1:6" x14ac:dyDescent="0.45">
      <c r="A164" t="s">
        <v>161</v>
      </c>
      <c r="B164" t="str" cm="1">
        <f t="array" ref="B164">_xll.FDS(A164,"FG_COMPANY_NAME")</f>
        <v>Equinix, Inc.</v>
      </c>
      <c r="C164" t="s">
        <v>514</v>
      </c>
      <c r="D164" s="2" cm="1">
        <f t="array" ref="D164">_xll.FDS(A164,"JULIAN(FF_EPS(QTR_R,0).dates)")</f>
        <v>46022</v>
      </c>
      <c r="E164" cm="1">
        <f t="array" ref="E164">_xll.FDS(A164,"FF_EPS(QTR_R,0)")</f>
        <v>2.6937000000000002</v>
      </c>
      <c r="F164" cm="1">
        <f t="array" ref="F164">_xll.FDS(A164,"FE_ESTIMATE(EPS,MEAN,QTR_ROLL,-0,0,,,'')")</f>
        <v>2.69</v>
      </c>
    </row>
    <row r="165" spans="1:6" x14ac:dyDescent="0.45">
      <c r="A165" t="s">
        <v>162</v>
      </c>
      <c r="B165" t="str" cm="1">
        <f t="array" ref="B165">_xll.FDS(A165,"FG_COMPANY_NAME")</f>
        <v>Equity Residential</v>
      </c>
      <c r="C165" t="s">
        <v>514</v>
      </c>
      <c r="D165" s="2" cm="1">
        <f t="array" ref="D165">_xll.FDS(A165,"JULIAN(FF_EPS(QTR_R,0).dates)")</f>
        <v>46022</v>
      </c>
      <c r="E165" cm="1">
        <f t="array" ref="E165">_xll.FDS(A165,"FF_EPS(QTR_R,0)")</f>
        <v>0.98199999999999998</v>
      </c>
      <c r="F165" cm="1">
        <f t="array" ref="F165">_xll.FDS(A165,"FE_ESTIMATE(EPS,MEAN,QTR_ROLL,-0,0,,,'')")</f>
        <v>1</v>
      </c>
    </row>
    <row r="166" spans="1:6" x14ac:dyDescent="0.45">
      <c r="A166" t="s">
        <v>163</v>
      </c>
      <c r="B166" t="str" cm="1">
        <f t="array" ref="B166">_xll.FDS(A166,"FG_COMPANY_NAME")</f>
        <v>EQT Corporation</v>
      </c>
      <c r="C166" t="s">
        <v>515</v>
      </c>
      <c r="D166" s="2" cm="1">
        <f t="array" ref="D166">_xll.FDS(A166,"JULIAN(FF_EPS(QTR_R,0).dates)")</f>
        <v>46022</v>
      </c>
      <c r="E166" cm="1">
        <f t="array" ref="E166">_xll.FDS(A166,"FF_EPS(QTR_R,0)")</f>
        <v>1.0769</v>
      </c>
      <c r="F166" cm="1">
        <f t="array" ref="F166">_xll.FDS(A166,"FE_ESTIMATE(EPS,MEAN,QTR_ROLL,-0,0,,,'')")</f>
        <v>0.9</v>
      </c>
    </row>
    <row r="167" spans="1:6" x14ac:dyDescent="0.45">
      <c r="A167" t="s">
        <v>164</v>
      </c>
      <c r="B167" t="str" cm="1">
        <f t="array" ref="B167">_xll.FDS(A167,"FG_COMPANY_NAME")</f>
        <v>Eversource Energy</v>
      </c>
      <c r="C167" t="s">
        <v>505</v>
      </c>
      <c r="D167" s="2" cm="1">
        <f t="array" ref="D167">_xll.FDS(A167,"JULIAN(FF_EPS(QTR_R,0).dates)")</f>
        <v>46022</v>
      </c>
      <c r="E167" cm="1">
        <f t="array" ref="E167">_xll.FDS(A167,"FF_EPS(QTR_R,0)")</f>
        <v>1.1200000000000001</v>
      </c>
      <c r="F167" cm="1">
        <f t="array" ref="F167">_xll.FDS(A167,"FE_ESTIMATE(EPS,MEAN,QTR_ROLL,-0,0,,,'')")</f>
        <v>1.1200000000000001</v>
      </c>
    </row>
    <row r="168" spans="1:6" x14ac:dyDescent="0.45">
      <c r="A168" t="s">
        <v>165</v>
      </c>
      <c r="B168" t="str" cm="1">
        <f t="array" ref="B168">_xll.FDS(A168,"FG_COMPANY_NAME")</f>
        <v>Essex Property Trust, Inc.</v>
      </c>
      <c r="C168" t="s">
        <v>514</v>
      </c>
      <c r="D168" s="2" cm="1">
        <f t="array" ref="D168">_xll.FDS(A168,"JULIAN(FF_EPS(QTR_R,0).dates)")</f>
        <v>46022</v>
      </c>
      <c r="E168" cm="1">
        <f t="array" ref="E168">_xll.FDS(A168,"FF_EPS(QTR_R,0)")</f>
        <v>1.2506999999999999</v>
      </c>
      <c r="F168" cm="1">
        <f t="array" ref="F168">_xll.FDS(A168,"FE_ESTIMATE(EPS,MEAN,QTR_ROLL,-0,0,,,'')")</f>
        <v>1.25</v>
      </c>
    </row>
    <row r="169" spans="1:6" x14ac:dyDescent="0.45">
      <c r="A169" t="s">
        <v>166</v>
      </c>
      <c r="B169" t="str" cm="1">
        <f t="array" ref="B169">_xll.FDS(A169,"FG_COMPANY_NAME")</f>
        <v>Eaton Corp. Plc</v>
      </c>
      <c r="C169" t="s">
        <v>512</v>
      </c>
      <c r="D169" s="2" cm="1">
        <f t="array" ref="D169">_xll.FDS(A169,"JULIAN(FF_EPS(QTR_R,0).dates)")</f>
        <v>46022</v>
      </c>
      <c r="E169" cm="1">
        <f t="array" ref="E169">_xll.FDS(A169,"FF_EPS(QTR_R,0)")</f>
        <v>2.9062999999999999</v>
      </c>
      <c r="F169" cm="1">
        <f t="array" ref="F169">_xll.FDS(A169,"FE_ESTIMATE(EPS,MEAN,QTR_ROLL,-0,0,,,'')")</f>
        <v>3.33</v>
      </c>
    </row>
    <row r="170" spans="1:6" x14ac:dyDescent="0.45">
      <c r="A170" t="s">
        <v>167</v>
      </c>
      <c r="B170" t="str" cm="1">
        <f t="array" ref="B170">_xll.FDS(A170,"FG_COMPANY_NAME")</f>
        <v>Entergy Corporation</v>
      </c>
      <c r="C170" t="s">
        <v>505</v>
      </c>
      <c r="D170" s="2" cm="1">
        <f t="array" ref="D170">_xll.FDS(A170,"JULIAN(FF_EPS(QTR_R,0).dates)")</f>
        <v>46022</v>
      </c>
      <c r="E170" cm="1">
        <f t="array" ref="E170">_xll.FDS(A170,"FF_EPS(QTR_R,0)")</f>
        <v>0.5141</v>
      </c>
      <c r="F170" cm="1">
        <f t="array" ref="F170">_xll.FDS(A170,"FE_ESTIMATE(EPS,MEAN,QTR_ROLL,-0,0,,,'')")</f>
        <v>0.51</v>
      </c>
    </row>
    <row r="171" spans="1:6" x14ac:dyDescent="0.45">
      <c r="A171" t="s">
        <v>168</v>
      </c>
      <c r="B171" t="str" cm="1">
        <f t="array" ref="B171">_xll.FDS(A171,"FG_COMPANY_NAME")</f>
        <v>Evergy, Inc.</v>
      </c>
      <c r="C171" t="s">
        <v>505</v>
      </c>
      <c r="D171" s="2" cm="1">
        <f t="array" ref="D171">_xll.FDS(A171,"JULIAN(FF_EPS(QTR_R,0).dates)")</f>
        <v>46022</v>
      </c>
      <c r="E171" cm="1">
        <f t="array" ref="E171">_xll.FDS(A171,"FF_EPS(QTR_R,0)")</f>
        <v>0.36609999999999998</v>
      </c>
      <c r="F171" cm="1">
        <f t="array" ref="F171">_xll.FDS(A171,"FE_ESTIMATE(EPS,MEAN,QTR_ROLL,-0,0,,,'')")</f>
        <v>0.42</v>
      </c>
    </row>
    <row r="172" spans="1:6" x14ac:dyDescent="0.45">
      <c r="A172" t="s">
        <v>169</v>
      </c>
      <c r="B172" t="str" cm="1">
        <f t="array" ref="B172">_xll.FDS(A172,"FG_COMPANY_NAME")</f>
        <v>Edwards Lifesciences Corporation</v>
      </c>
      <c r="C172" t="s">
        <v>507</v>
      </c>
      <c r="D172" s="2" cm="1">
        <f t="array" ref="D172">_xll.FDS(A172,"JULIAN(FF_EPS(QTR_R,0).dates)")</f>
        <v>46022</v>
      </c>
      <c r="E172" cm="1">
        <f t="array" ref="E172">_xll.FDS(A172,"FF_EPS(QTR_R,0)")</f>
        <v>0.1104</v>
      </c>
      <c r="F172" cm="1">
        <f t="array" ref="F172">_xll.FDS(A172,"FE_ESTIMATE(EPS,MEAN,QTR_ROLL,-0,0,,,'')")</f>
        <v>0.57999999999999996</v>
      </c>
    </row>
    <row r="173" spans="1:6" x14ac:dyDescent="0.45">
      <c r="A173" t="s">
        <v>170</v>
      </c>
      <c r="B173" t="str" cm="1">
        <f t="array" ref="B173">_xll.FDS(A173,"FG_COMPANY_NAME")</f>
        <v>Exelon Corporation</v>
      </c>
      <c r="C173" t="s">
        <v>505</v>
      </c>
      <c r="D173" s="2" cm="1">
        <f t="array" ref="D173">_xll.FDS(A173,"JULIAN(FF_EPS(QTR_R,0).dates)")</f>
        <v>46022</v>
      </c>
      <c r="E173" cm="1">
        <f t="array" ref="E173">_xll.FDS(A173,"FF_EPS(QTR_R,0)")</f>
        <v>0.58479999999999999</v>
      </c>
      <c r="F173" cm="1">
        <f t="array" ref="F173">_xll.FDS(A173,"FE_ESTIMATE(EPS,MEAN,QTR_ROLL,-0,0,,,'')")</f>
        <v>0.59</v>
      </c>
    </row>
    <row r="174" spans="1:6" x14ac:dyDescent="0.45">
      <c r="A174" t="s">
        <v>171</v>
      </c>
      <c r="B174" t="str" cm="1">
        <f t="array" ref="B174">_xll.FDS(A174,"FG_COMPANY_NAME")</f>
        <v>Expeditors International of Washington, Inc.</v>
      </c>
      <c r="C174" t="s">
        <v>512</v>
      </c>
      <c r="D174" s="2" cm="1">
        <f t="array" ref="D174">_xll.FDS(A174,"JULIAN(FF_EPS(QTR_R,0).dates)")</f>
        <v>46022</v>
      </c>
      <c r="E174" cm="1">
        <f t="array" ref="E174">_xll.FDS(A174,"FF_EPS(QTR_R,0)")</f>
        <v>1.4907999999999999</v>
      </c>
      <c r="F174" cm="1">
        <f t="array" ref="F174">_xll.FDS(A174,"FE_ESTIMATE(EPS,MEAN,QTR_ROLL,-0,0,,,'')")</f>
        <v>1.49</v>
      </c>
    </row>
    <row r="175" spans="1:6" x14ac:dyDescent="0.45">
      <c r="A175" t="s">
        <v>172</v>
      </c>
      <c r="B175" t="str" cm="1">
        <f t="array" ref="B175">_xll.FDS(A175,"FG_COMPANY_NAME")</f>
        <v>Expedia Group, Inc.</v>
      </c>
      <c r="C175" t="s">
        <v>509</v>
      </c>
      <c r="D175" s="2" cm="1">
        <f t="array" ref="D175">_xll.FDS(A175,"JULIAN(FF_EPS(QTR_R,0).dates)")</f>
        <v>46022</v>
      </c>
      <c r="E175" cm="1">
        <f t="array" ref="E175">_xll.FDS(A175,"FF_EPS(QTR_R,0)")</f>
        <v>1.5986</v>
      </c>
      <c r="F175" cm="1">
        <f t="array" ref="F175">_xll.FDS(A175,"FE_ESTIMATE(EPS,MEAN,QTR_ROLL,-0,0,,,'')")</f>
        <v>3.78</v>
      </c>
    </row>
    <row r="176" spans="1:6" x14ac:dyDescent="0.45">
      <c r="A176" t="s">
        <v>173</v>
      </c>
      <c r="B176" t="str" cm="1">
        <f t="array" ref="B176">_xll.FDS(A176,"FG_COMPANY_NAME")</f>
        <v>Extra Space Storage Inc.</v>
      </c>
      <c r="C176" t="s">
        <v>514</v>
      </c>
      <c r="D176" s="2" cm="1">
        <f t="array" ref="D176">_xll.FDS(A176,"JULIAN(FF_EPS(QTR_R,0).dates)")</f>
        <v>46022</v>
      </c>
      <c r="E176" cm="1">
        <f t="array" ref="E176">_xll.FDS(A176,"FF_EPS(QTR_R,0)")</f>
        <v>1.2981</v>
      </c>
      <c r="F176" cm="1">
        <f t="array" ref="F176">_xll.FDS(A176,"FE_ESTIMATE(EPS,MEAN,QTR_ROLL,-0,0,,,'')")</f>
        <v>1.36</v>
      </c>
    </row>
    <row r="177" spans="1:6" x14ac:dyDescent="0.45">
      <c r="A177" t="s">
        <v>174</v>
      </c>
      <c r="B177" t="str" cm="1">
        <f t="array" ref="B177">_xll.FDS(A177,"FG_COMPANY_NAME")</f>
        <v>Ford Motor Company</v>
      </c>
      <c r="C177" t="s">
        <v>509</v>
      </c>
      <c r="D177" s="2" cm="1">
        <f t="array" ref="D177">_xll.FDS(A177,"JULIAN(FF_EPS(QTR_R,0).dates)")</f>
        <v>46022</v>
      </c>
      <c r="E177" cm="1">
        <f t="array" ref="E177">_xll.FDS(A177,"FF_EPS(QTR_R,0)")</f>
        <v>-2.6286</v>
      </c>
      <c r="F177" cm="1">
        <f t="array" ref="F177">_xll.FDS(A177,"FE_ESTIMATE(EPS,MEAN,QTR_ROLL,-0,0,,,'')")</f>
        <v>0.13</v>
      </c>
    </row>
    <row r="178" spans="1:6" x14ac:dyDescent="0.45">
      <c r="A178" t="s">
        <v>175</v>
      </c>
      <c r="B178" t="str" cm="1">
        <f t="array" ref="B178">_xll.FDS(A178,"FG_COMPANY_NAME")</f>
        <v>Diamondback Energy, Inc.</v>
      </c>
      <c r="C178" t="s">
        <v>515</v>
      </c>
      <c r="D178" s="2" cm="1">
        <f t="array" ref="D178">_xll.FDS(A178,"JULIAN(FF_EPS(QTR_R,0).dates)")</f>
        <v>46022</v>
      </c>
      <c r="E178" cm="1">
        <f t="array" ref="E178">_xll.FDS(A178,"FF_EPS(QTR_R,0)")</f>
        <v>-5.0807000000000002</v>
      </c>
      <c r="F178" cm="1">
        <f t="array" ref="F178">_xll.FDS(A178,"FE_ESTIMATE(EPS,MEAN,QTR_ROLL,-0,0,,,'')")</f>
        <v>1.74</v>
      </c>
    </row>
    <row r="179" spans="1:6" x14ac:dyDescent="0.45">
      <c r="A179" t="s">
        <v>176</v>
      </c>
      <c r="B179" t="str" cm="1">
        <f t="array" ref="B179">_xll.FDS(A179,"FG_COMPANY_NAME")</f>
        <v>Fastenal Company</v>
      </c>
      <c r="C179" t="s">
        <v>512</v>
      </c>
      <c r="D179" s="2" cm="1">
        <f t="array" ref="D179">_xll.FDS(A179,"JULIAN(FF_EPS(QTR_R,0).dates)")</f>
        <v>46022</v>
      </c>
      <c r="E179" cm="1">
        <f t="array" ref="E179">_xll.FDS(A179,"FF_EPS(QTR_R,0)")</f>
        <v>0.25559999999999999</v>
      </c>
      <c r="F179" cm="1">
        <f t="array" ref="F179">_xll.FDS(A179,"FE_ESTIMATE(EPS,MEAN,QTR_ROLL,-0,0,,,'')")</f>
        <v>0.26</v>
      </c>
    </row>
    <row r="180" spans="1:6" x14ac:dyDescent="0.45">
      <c r="A180" t="s">
        <v>177</v>
      </c>
      <c r="B180" t="str" cm="1">
        <f t="array" ref="B180">_xll.FDS(A180,"FG_COMPANY_NAME")</f>
        <v>First Citizens BancShares, Inc. Class A</v>
      </c>
      <c r="C180" t="s">
        <v>510</v>
      </c>
      <c r="D180" s="2" cm="1">
        <f t="array" ref="D180">_xll.FDS(A180,"JULIAN(FF_EPS(QTR_R,0).dates)")</f>
        <v>46022</v>
      </c>
      <c r="E180" cm="1">
        <f t="array" ref="E180">_xll.FDS(A180,"FF_EPS(QTR_R,0)")</f>
        <v>45.781700000000001</v>
      </c>
      <c r="F180" cm="1">
        <f t="array" ref="F180">_xll.FDS(A180,"FE_ESTIMATE(EPS,MEAN,QTR_ROLL,-0,0,,,'')")</f>
        <v>51.27</v>
      </c>
    </row>
    <row r="181" spans="1:6" x14ac:dyDescent="0.45">
      <c r="A181" t="s">
        <v>178</v>
      </c>
      <c r="B181" t="str" cm="1">
        <f t="array" ref="B181">_xll.FDS(A181,"FG_COMPANY_NAME")</f>
        <v>Freeport-McMoRan, Inc.</v>
      </c>
      <c r="C181" t="s">
        <v>513</v>
      </c>
      <c r="D181" s="2" cm="1">
        <f t="array" ref="D181">_xll.FDS(A181,"JULIAN(FF_EPS(QTR_R,0).dates)")</f>
        <v>46022</v>
      </c>
      <c r="E181" cm="1">
        <f t="array" ref="E181">_xll.FDS(A181,"FF_EPS(QTR_R,0)")</f>
        <v>0.28139999999999998</v>
      </c>
      <c r="F181" cm="1">
        <f t="array" ref="F181">_xll.FDS(A181,"FE_ESTIMATE(EPS,MEAN,QTR_ROLL,-0,0,,,'')")</f>
        <v>0.47</v>
      </c>
    </row>
    <row r="182" spans="1:6" x14ac:dyDescent="0.45">
      <c r="A182" t="s">
        <v>179</v>
      </c>
      <c r="B182" t="str" cm="1">
        <f t="array" ref="B182">_xll.FDS(A182,"FG_COMPANY_NAME")</f>
        <v>FactSet Research Systems Inc.</v>
      </c>
      <c r="C182" t="s">
        <v>510</v>
      </c>
      <c r="D182" s="2" cm="1">
        <f t="array" ref="D182">_xll.FDS(A182,"JULIAN(FF_EPS(QTR_R,0).dates)")</f>
        <v>45989</v>
      </c>
      <c r="E182" cm="1">
        <f t="array" ref="E182">_xll.FDS(A182,"FF_EPS(QTR_R,0)")</f>
        <v>4.0564</v>
      </c>
      <c r="F182" cm="1">
        <f t="array" ref="F182">_xll.FDS(A182,"FE_ESTIMATE(EPS,MEAN,QTR_ROLL,-0,0,,,'')")</f>
        <v>4.51</v>
      </c>
    </row>
    <row r="183" spans="1:6" x14ac:dyDescent="0.45">
      <c r="A183" t="s">
        <v>180</v>
      </c>
      <c r="B183" t="str" cm="1">
        <f t="array" ref="B183">_xll.FDS(A183,"FG_COMPANY_NAME")</f>
        <v>FedEx Corporation</v>
      </c>
      <c r="C183" t="s">
        <v>512</v>
      </c>
      <c r="D183" s="2" cm="1">
        <f t="array" ref="D183">_xll.FDS(A183,"JULIAN(FF_EPS(QTR_R,0).dates)")</f>
        <v>46080</v>
      </c>
      <c r="E183" cm="1">
        <f t="array" ref="E183">_xll.FDS(A183,"FF_EPS(QTR_R,0)")</f>
        <v>4.41</v>
      </c>
      <c r="F183" cm="1">
        <f t="array" ref="F183">_xll.FDS(A183,"FE_ESTIMATE(EPS,MEAN,QTR_ROLL,-0,0,,,'')")</f>
        <v>5.25</v>
      </c>
    </row>
    <row r="184" spans="1:6" x14ac:dyDescent="0.45">
      <c r="A184" t="s">
        <v>181</v>
      </c>
      <c r="B184" t="str" cm="1">
        <f t="array" ref="B184">_xll.FDS(A184,"FG_COMPANY_NAME")</f>
        <v>FirstEnergy Corp.</v>
      </c>
      <c r="C184" t="s">
        <v>505</v>
      </c>
      <c r="D184" s="2" cm="1">
        <f t="array" ref="D184">_xll.FDS(A184,"JULIAN(FF_EPS(QTR_R,0).dates)")</f>
        <v>46022</v>
      </c>
      <c r="E184" cm="1">
        <f t="array" ref="E184">_xll.FDS(A184,"FF_EPS(QTR_R,0)")</f>
        <v>-8.48E-2</v>
      </c>
      <c r="F184" cm="1">
        <f t="array" ref="F184">_xll.FDS(A184,"FE_ESTIMATE(EPS,MEAN,QTR_ROLL,-0,0,,,'')")</f>
        <v>0.53</v>
      </c>
    </row>
    <row r="185" spans="1:6" x14ac:dyDescent="0.45">
      <c r="A185" t="s">
        <v>182</v>
      </c>
      <c r="B185" t="str" cm="1">
        <f t="array" ref="B185">_xll.FDS(A185,"FG_COMPANY_NAME")</f>
        <v>F5, Inc.</v>
      </c>
      <c r="C185" t="s">
        <v>508</v>
      </c>
      <c r="D185" s="2" cm="1">
        <f t="array" ref="D185">_xll.FDS(A185,"JULIAN(FF_EPS(QTR_R,0).dates)")</f>
        <v>46022</v>
      </c>
      <c r="E185" cm="1">
        <f t="array" ref="E185">_xll.FDS(A185,"FF_EPS(QTR_R,0)")</f>
        <v>3.0956000000000001</v>
      </c>
      <c r="F185" cm="1">
        <f t="array" ref="F185">_xll.FDS(A185,"FE_ESTIMATE(EPS,MEAN,QTR_ROLL,-0,0,,,'')")</f>
        <v>4.45</v>
      </c>
    </row>
    <row r="186" spans="1:6" x14ac:dyDescent="0.45">
      <c r="A186" t="s">
        <v>183</v>
      </c>
      <c r="B186" t="str" cm="1">
        <f t="array" ref="B186">_xll.FDS(A186,"FG_COMPANY_NAME")</f>
        <v>Fiserv, Inc.</v>
      </c>
      <c r="C186" t="s">
        <v>510</v>
      </c>
      <c r="D186" s="2" cm="1">
        <f t="array" ref="D186">_xll.FDS(A186,"JULIAN(FF_EPS(QTR_R,0).dates)")</f>
        <v>46022</v>
      </c>
      <c r="E186" cm="1">
        <f t="array" ref="E186">_xll.FDS(A186,"FF_EPS(QTR_R,0)")</f>
        <v>1.5102</v>
      </c>
      <c r="F186" cm="1">
        <f t="array" ref="F186">_xll.FDS(A186,"FE_ESTIMATE(EPS,MEAN,QTR_ROLL,-0,0,,,'')")</f>
        <v>1.99</v>
      </c>
    </row>
    <row r="187" spans="1:6" x14ac:dyDescent="0.45">
      <c r="A187" t="s">
        <v>184</v>
      </c>
      <c r="B187" t="str" cm="1">
        <f t="array" ref="B187">_xll.FDS(A187,"FG_COMPANY_NAME")</f>
        <v>Fair Isaac Corporation</v>
      </c>
      <c r="C187" t="s">
        <v>508</v>
      </c>
      <c r="D187" s="2" cm="1">
        <f t="array" ref="D187">_xll.FDS(A187,"JULIAN(FF_EPS(QTR_R,0).dates)")</f>
        <v>46022</v>
      </c>
      <c r="E187" cm="1">
        <f t="array" ref="E187">_xll.FDS(A187,"FF_EPS(QTR_R,0)")</f>
        <v>6.6104000000000003</v>
      </c>
      <c r="F187" cm="1">
        <f t="array" ref="F187">_xll.FDS(A187,"FE_ESTIMATE(EPS,MEAN,QTR_ROLL,-0,0,,,'')")</f>
        <v>7.33</v>
      </c>
    </row>
    <row r="188" spans="1:6" x14ac:dyDescent="0.45">
      <c r="A188" t="s">
        <v>185</v>
      </c>
      <c r="B188" t="str" cm="1">
        <f t="array" ref="B188">_xll.FDS(A188,"FG_COMPANY_NAME")</f>
        <v>Fidelity National Information Services, Inc.</v>
      </c>
      <c r="C188" t="s">
        <v>510</v>
      </c>
      <c r="D188" s="2" cm="1">
        <f t="array" ref="D188">_xll.FDS(A188,"JULIAN(FF_EPS(QTR_R,0).dates)")</f>
        <v>46022</v>
      </c>
      <c r="E188" cm="1">
        <f t="array" ref="E188">_xll.FDS(A188,"FF_EPS(QTR_R,0)")</f>
        <v>0.98460000000000003</v>
      </c>
      <c r="F188" cm="1">
        <f t="array" ref="F188">_xll.FDS(A188,"FE_ESTIMATE(EPS,MEAN,QTR_ROLL,-0,0,,,'')")</f>
        <v>1.68</v>
      </c>
    </row>
    <row r="189" spans="1:6" x14ac:dyDescent="0.45">
      <c r="A189" t="s">
        <v>186</v>
      </c>
      <c r="B189" t="str" cm="1">
        <f t="array" ref="B189">_xll.FDS(A189,"FG_COMPANY_NAME")</f>
        <v>Fifth Third Bancorp</v>
      </c>
      <c r="C189" t="s">
        <v>510</v>
      </c>
      <c r="D189" s="2" cm="1">
        <f t="array" ref="D189">_xll.FDS(A189,"JULIAN(FF_EPS(QTR_R,0).dates)")</f>
        <v>46022</v>
      </c>
      <c r="E189" cm="1">
        <f t="array" ref="E189">_xll.FDS(A189,"FF_EPS(QTR_R,0)")</f>
        <v>1.0446</v>
      </c>
      <c r="F189" cm="1">
        <f t="array" ref="F189">_xll.FDS(A189,"FE_ESTIMATE(EPS,MEAN,QTR_ROLL,-0,0,,,'')")</f>
        <v>1.04</v>
      </c>
    </row>
    <row r="190" spans="1:6" x14ac:dyDescent="0.45">
      <c r="A190" t="s">
        <v>187</v>
      </c>
      <c r="B190" t="str" cm="1">
        <f t="array" ref="B190">_xll.FDS(A190,"FG_COMPANY_NAME")</f>
        <v>Corpay, Inc.</v>
      </c>
      <c r="C190" t="s">
        <v>512</v>
      </c>
      <c r="D190" s="2" cm="1">
        <f t="array" ref="D190">_xll.FDS(A190,"JULIAN(FF_EPS(QTR_R,0).dates)")</f>
        <v>46022</v>
      </c>
      <c r="E190" cm="1">
        <f t="array" ref="E190">_xll.FDS(A190,"FF_EPS(QTR_R,0)")</f>
        <v>3.7717000000000001</v>
      </c>
      <c r="F190" cm="1">
        <f t="array" ref="F190">_xll.FDS(A190,"FE_ESTIMATE(EPS,MEAN,QTR_ROLL,-0,0,,,'')")</f>
        <v>6.04</v>
      </c>
    </row>
    <row r="191" spans="1:6" x14ac:dyDescent="0.45">
      <c r="A191" t="s">
        <v>188</v>
      </c>
      <c r="B191" t="str" cm="1">
        <f t="array" ref="B191">_xll.FDS(A191,"FG_COMPANY_NAME")</f>
        <v>FMC Corporation</v>
      </c>
      <c r="C191" t="s">
        <v>513</v>
      </c>
      <c r="D191" s="2" cm="1">
        <f t="array" ref="D191">_xll.FDS(A191,"JULIAN(FF_EPS(QTR_R,0).dates)")</f>
        <v>46022</v>
      </c>
      <c r="E191" cm="1">
        <f t="array" ref="E191">_xll.FDS(A191,"FF_EPS(QTR_R,0)")</f>
        <v>-13.778</v>
      </c>
      <c r="F191" cm="1">
        <f t="array" ref="F191">_xll.FDS(A191,"FE_ESTIMATE(EPS,MEAN,QTR_ROLL,-0,0,,,'')")</f>
        <v>1.2</v>
      </c>
    </row>
    <row r="192" spans="1:6" x14ac:dyDescent="0.45">
      <c r="A192" t="s">
        <v>189</v>
      </c>
      <c r="B192" t="str" cm="1">
        <f t="array" ref="B192">_xll.FDS(A192,"FG_COMPANY_NAME")</f>
        <v>Fox Corporation Class B</v>
      </c>
      <c r="C192" t="s">
        <v>516</v>
      </c>
      <c r="D192" s="2" cm="1">
        <f t="array" ref="D192">_xll.FDS(A192,"JULIAN(FF_EPS(QTR_R,0).dates)")</f>
        <v>46022</v>
      </c>
      <c r="E192" cm="1">
        <f t="array" ref="E192">_xll.FDS(A192,"FF_EPS(QTR_R,0)")</f>
        <v>0.51929999999999998</v>
      </c>
      <c r="F192" cm="1">
        <f t="array" ref="F192">_xll.FDS(A192,"FE_ESTIMATE(EPS,MEAN,QTR_ROLL,-0,0,,,'')")</f>
        <v>0.82</v>
      </c>
    </row>
    <row r="193" spans="1:6" x14ac:dyDescent="0.45">
      <c r="A193" t="s">
        <v>190</v>
      </c>
      <c r="B193" t="str" cm="1">
        <f t="array" ref="B193">_xll.FDS(A193,"FG_COMPANY_NAME")</f>
        <v>Fox Corporation Class A</v>
      </c>
      <c r="C193" t="s">
        <v>516</v>
      </c>
      <c r="D193" s="2" cm="1">
        <f t="array" ref="D193">_xll.FDS(A193,"JULIAN(FF_EPS(QTR_R,0).dates)")</f>
        <v>46022</v>
      </c>
      <c r="E193" cm="1">
        <f t="array" ref="E193">_xll.FDS(A193,"FF_EPS(QTR_R,0)")</f>
        <v>0.51929999999999998</v>
      </c>
      <c r="F193" cm="1">
        <f t="array" ref="F193">_xll.FDS(A193,"FE_ESTIMATE(EPS,MEAN,QTR_ROLL,-0,0,,,'')")</f>
        <v>0.82</v>
      </c>
    </row>
    <row r="194" spans="1:6" x14ac:dyDescent="0.45">
      <c r="A194" t="s">
        <v>191</v>
      </c>
      <c r="B194" t="str" cm="1">
        <f t="array" ref="B194">_xll.FDS(A194,"FG_COMPANY_NAME")</f>
        <v>Federal Realty Investment Trust</v>
      </c>
      <c r="C194" t="s">
        <v>514</v>
      </c>
      <c r="D194" s="2" cm="1">
        <f t="array" ref="D194">_xll.FDS(A194,"JULIAN(FF_EPS(QTR_R,0).dates)")</f>
        <v>46022</v>
      </c>
      <c r="E194" cm="1">
        <f t="array" ref="E194">_xll.FDS(A194,"FF_EPS(QTR_R,0)")</f>
        <v>1.4812000000000001</v>
      </c>
      <c r="F194" cm="1">
        <f t="array" ref="F194">_xll.FDS(A194,"FE_ESTIMATE(EPS,MEAN,QTR_ROLL,-0,0,,,'')")</f>
        <v>1.48</v>
      </c>
    </row>
    <row r="195" spans="1:6" x14ac:dyDescent="0.45">
      <c r="A195" t="s">
        <v>192</v>
      </c>
      <c r="B195" t="str" cm="1">
        <f t="array" ref="B195">_xll.FDS(A195,"FG_COMPANY_NAME")</f>
        <v>First Solar, Inc.</v>
      </c>
      <c r="C195" t="s">
        <v>508</v>
      </c>
      <c r="D195" s="2" cm="1">
        <f t="array" ref="D195">_xll.FDS(A195,"JULIAN(FF_EPS(QTR_R,0).dates)")</f>
        <v>46022</v>
      </c>
      <c r="E195" cm="1">
        <f t="array" ref="E195">_xll.FDS(A195,"FF_EPS(QTR_R,0)")</f>
        <v>4.8384</v>
      </c>
      <c r="F195" cm="1">
        <f t="array" ref="F195">_xll.FDS(A195,"FE_ESTIMATE(EPS,MEAN,QTR_ROLL,-0,0,,,'')")</f>
        <v>4.84</v>
      </c>
    </row>
    <row r="196" spans="1:6" x14ac:dyDescent="0.45">
      <c r="A196" t="s">
        <v>193</v>
      </c>
      <c r="B196" t="str" cm="1">
        <f t="array" ref="B196">_xll.FDS(A196,"FG_COMPANY_NAME")</f>
        <v>Fortinet, Inc.</v>
      </c>
      <c r="C196" t="s">
        <v>508</v>
      </c>
      <c r="D196" s="2" cm="1">
        <f t="array" ref="D196">_xll.FDS(A196,"JULIAN(FF_EPS(QTR_R,0).dates)")</f>
        <v>46022</v>
      </c>
      <c r="E196" cm="1">
        <f t="array" ref="E196">_xll.FDS(A196,"FF_EPS(QTR_R,0)")</f>
        <v>0.67649999999999999</v>
      </c>
      <c r="F196" cm="1">
        <f t="array" ref="F196">_xll.FDS(A196,"FE_ESTIMATE(EPS,MEAN,QTR_ROLL,-0,0,,,'')")</f>
        <v>0.81</v>
      </c>
    </row>
    <row r="197" spans="1:6" x14ac:dyDescent="0.45">
      <c r="A197" t="s">
        <v>194</v>
      </c>
      <c r="B197" t="str" cm="1">
        <f t="array" ref="B197">_xll.FDS(A197,"FG_COMPANY_NAME")</f>
        <v>Fortive Corp.</v>
      </c>
      <c r="C197" t="s">
        <v>512</v>
      </c>
      <c r="D197" s="2" cm="1">
        <f t="array" ref="D197">_xll.FDS(A197,"JULIAN(FF_EPS(QTR_R,0).dates)")</f>
        <v>46022</v>
      </c>
      <c r="E197" cm="1">
        <f t="array" ref="E197">_xll.FDS(A197,"FF_EPS(QTR_R,0)")</f>
        <v>0.58140000000000003</v>
      </c>
      <c r="F197" cm="1">
        <f t="array" ref="F197">_xll.FDS(A197,"FE_ESTIMATE(EPS,MEAN,QTR_ROLL,-0,0,,,'')")</f>
        <v>0.9</v>
      </c>
    </row>
    <row r="198" spans="1:6" x14ac:dyDescent="0.45">
      <c r="A198" t="s">
        <v>195</v>
      </c>
      <c r="B198" t="str" cm="1">
        <f t="array" ref="B198">_xll.FDS(A198,"FG_COMPANY_NAME")</f>
        <v>General Dynamics Corporation</v>
      </c>
      <c r="C198" t="s">
        <v>512</v>
      </c>
      <c r="D198" s="2" cm="1">
        <f t="array" ref="D198">_xll.FDS(A198,"JULIAN(FF_EPS(QTR_R,0).dates)")</f>
        <v>46022</v>
      </c>
      <c r="E198" cm="1">
        <f t="array" ref="E198">_xll.FDS(A198,"FF_EPS(QTR_R,0)")</f>
        <v>4.1730999999999998</v>
      </c>
      <c r="F198" cm="1">
        <f t="array" ref="F198">_xll.FDS(A198,"FE_ESTIMATE(EPS,MEAN,QTR_ROLL,-0,0,,,'')")</f>
        <v>4.17</v>
      </c>
    </row>
    <row r="199" spans="1:6" x14ac:dyDescent="0.45">
      <c r="A199" t="s">
        <v>196</v>
      </c>
      <c r="B199" t="str" cm="1">
        <f t="array" ref="B199">_xll.FDS(A199,"FG_COMPANY_NAME")</f>
        <v>GoDaddy, Inc. Class A</v>
      </c>
      <c r="C199" t="s">
        <v>508</v>
      </c>
      <c r="D199" s="2" cm="1">
        <f t="array" ref="D199">_xll.FDS(A199,"JULIAN(FF_EPS(QTR_R,0).dates)")</f>
        <v>46022</v>
      </c>
      <c r="E199" cm="1">
        <f t="array" ref="E199">_xll.FDS(A199,"FF_EPS(QTR_R,0)")</f>
        <v>1.7998000000000001</v>
      </c>
      <c r="F199" cm="1">
        <f t="array" ref="F199">_xll.FDS(A199,"FE_ESTIMATE(EPS,MEAN,QTR_ROLL,-0,0,,,'')")</f>
        <v>1.8</v>
      </c>
    </row>
    <row r="200" spans="1:6" x14ac:dyDescent="0.45">
      <c r="A200" t="s">
        <v>197</v>
      </c>
      <c r="B200" t="str" cm="1">
        <f t="array" ref="B200">_xll.FDS(A200,"FG_COMPANY_NAME")</f>
        <v>GE Aerospace</v>
      </c>
      <c r="C200" t="s">
        <v>512</v>
      </c>
      <c r="D200" s="2" cm="1">
        <f t="array" ref="D200">_xll.FDS(A200,"JULIAN(FF_EPS(QTR_R,0).dates)")</f>
        <v>46022</v>
      </c>
      <c r="E200" cm="1">
        <f t="array" ref="E200">_xll.FDS(A200,"FF_EPS(QTR_R,0)")</f>
        <v>2.3887</v>
      </c>
      <c r="F200" cm="1">
        <f t="array" ref="F200">_xll.FDS(A200,"FE_ESTIMATE(EPS,MEAN,QTR_ROLL,-0,0,,,'')")</f>
        <v>1.57</v>
      </c>
    </row>
    <row r="201" spans="1:6" x14ac:dyDescent="0.45">
      <c r="A201" t="s">
        <v>198</v>
      </c>
      <c r="B201" t="str" cm="1">
        <f t="array" ref="B201">_xll.FDS(A201,"FG_COMPANY_NAME")</f>
        <v>GE Healthcare Technologies Inc.</v>
      </c>
      <c r="C201" t="s">
        <v>507</v>
      </c>
      <c r="D201" s="2" cm="1">
        <f t="array" ref="D201">_xll.FDS(A201,"JULIAN(FF_EPS(QTR_R,0).dates)")</f>
        <v>46022</v>
      </c>
      <c r="E201" cm="1">
        <f t="array" ref="E201">_xll.FDS(A201,"FF_EPS(QTR_R,0)")</f>
        <v>1.2887999999999999</v>
      </c>
      <c r="F201" cm="1">
        <f t="array" ref="F201">_xll.FDS(A201,"FE_ESTIMATE(EPS,MEAN,QTR_ROLL,-0,0,,,'')")</f>
        <v>1.44</v>
      </c>
    </row>
    <row r="202" spans="1:6" x14ac:dyDescent="0.45">
      <c r="A202" t="s">
        <v>199</v>
      </c>
      <c r="B202" t="str" cm="1">
        <f t="array" ref="B202">_xll.FDS(A202,"FG_COMPANY_NAME")</f>
        <v>Gen Digital Inc.</v>
      </c>
      <c r="C202" t="s">
        <v>508</v>
      </c>
      <c r="D202" s="2" cm="1">
        <f t="array" ref="D202">_xll.FDS(A202,"JULIAN(FF_EPS(QTR_R,0).dates)")</f>
        <v>46022</v>
      </c>
      <c r="E202" cm="1">
        <f t="array" ref="E202">_xll.FDS(A202,"FF_EPS(QTR_R,0)")</f>
        <v>0.31069999999999998</v>
      </c>
      <c r="F202" cm="1">
        <f t="array" ref="F202">_xll.FDS(A202,"FE_ESTIMATE(EPS,MEAN,QTR_ROLL,-0,0,,,'')")</f>
        <v>0.64</v>
      </c>
    </row>
    <row r="203" spans="1:6" x14ac:dyDescent="0.45">
      <c r="A203" t="s">
        <v>200</v>
      </c>
      <c r="B203" t="str" cm="1">
        <f t="array" ref="B203">_xll.FDS(A203,"FG_COMPANY_NAME")</f>
        <v>GE Vernova Inc.</v>
      </c>
      <c r="C203" t="s">
        <v>512</v>
      </c>
      <c r="D203" s="2" cm="1">
        <f t="array" ref="D203">_xll.FDS(A203,"JULIAN(FF_EPS(QTR_R,0).dates)")</f>
        <v>46022</v>
      </c>
      <c r="E203" cm="1">
        <f t="array" ref="E203">_xll.FDS(A203,"FF_EPS(QTR_R,0)")</f>
        <v>13.372299999999999</v>
      </c>
      <c r="F203" cm="1">
        <f t="array" ref="F203">_xll.FDS(A203,"FE_ESTIMATE(EPS,MEAN,QTR_ROLL,-0,0,,,'')")</f>
        <v>13.39</v>
      </c>
    </row>
    <row r="204" spans="1:6" x14ac:dyDescent="0.45">
      <c r="A204" t="s">
        <v>201</v>
      </c>
      <c r="B204" t="str" cm="1">
        <f t="array" ref="B204">_xll.FDS(A204,"FG_COMPANY_NAME")</f>
        <v>Gilead Sciences, Inc.</v>
      </c>
      <c r="C204" t="s">
        <v>507</v>
      </c>
      <c r="D204" s="2" cm="1">
        <f t="array" ref="D204">_xll.FDS(A204,"JULIAN(FF_EPS(QTR_R,0).dates)")</f>
        <v>46022</v>
      </c>
      <c r="E204" cm="1">
        <f t="array" ref="E204">_xll.FDS(A204,"FF_EPS(QTR_R,0)")</f>
        <v>1.7422</v>
      </c>
      <c r="F204" cm="1">
        <f t="array" ref="F204">_xll.FDS(A204,"FE_ESTIMATE(EPS,MEAN,QTR_ROLL,-0,0,,,'')")</f>
        <v>1.86</v>
      </c>
    </row>
    <row r="205" spans="1:6" x14ac:dyDescent="0.45">
      <c r="A205" t="s">
        <v>202</v>
      </c>
      <c r="B205" t="str" cm="1">
        <f t="array" ref="B205">_xll.FDS(A205,"FG_COMPANY_NAME")</f>
        <v>General Mills, Inc.</v>
      </c>
      <c r="C205" t="s">
        <v>511</v>
      </c>
      <c r="D205" s="2" cm="1">
        <f t="array" ref="D205">_xll.FDS(A205,"JULIAN(FF_EPS(QTR_R,0).dates)")</f>
        <v>46080</v>
      </c>
      <c r="E205" cm="1">
        <f t="array" ref="E205">_xll.FDS(A205,"FF_EPS(QTR_R,0)")</f>
        <v>0.56410000000000005</v>
      </c>
      <c r="F205" cm="1">
        <f t="array" ref="F205">_xll.FDS(A205,"FE_ESTIMATE(EPS,MEAN,QTR_ROLL,-0,0,,,'')")</f>
        <v>0.64</v>
      </c>
    </row>
    <row r="206" spans="1:6" x14ac:dyDescent="0.45">
      <c r="A206" t="s">
        <v>203</v>
      </c>
      <c r="B206" t="str" cm="1">
        <f t="array" ref="B206">_xll.FDS(A206,"FG_COMPANY_NAME")</f>
        <v>Globe Life Inc.</v>
      </c>
      <c r="C206" t="s">
        <v>510</v>
      </c>
      <c r="D206" s="2" cm="1">
        <f t="array" ref="D206">_xll.FDS(A206,"JULIAN(FF_EPS(QTR_R,0).dates)")</f>
        <v>46022</v>
      </c>
      <c r="E206" cm="1">
        <f t="array" ref="E206">_xll.FDS(A206,"FF_EPS(QTR_R,0)")</f>
        <v>3.2930000000000001</v>
      </c>
      <c r="F206" cm="1">
        <f t="array" ref="F206">_xll.FDS(A206,"FE_ESTIMATE(EPS,MEAN,QTR_ROLL,-0,0,,,'')")</f>
        <v>3.39</v>
      </c>
    </row>
    <row r="207" spans="1:6" x14ac:dyDescent="0.45">
      <c r="A207" t="s">
        <v>204</v>
      </c>
      <c r="B207" t="str" cm="1">
        <f t="array" ref="B207">_xll.FDS(A207,"FG_COMPANY_NAME")</f>
        <v>Corning Inc</v>
      </c>
      <c r="C207" t="s">
        <v>508</v>
      </c>
      <c r="D207" s="2" cm="1">
        <f t="array" ref="D207">_xll.FDS(A207,"JULIAN(FF_EPS(QTR_R,0).dates)")</f>
        <v>46022</v>
      </c>
      <c r="E207" cm="1">
        <f t="array" ref="E207">_xll.FDS(A207,"FF_EPS(QTR_R,0)")</f>
        <v>0.62</v>
      </c>
      <c r="F207" cm="1">
        <f t="array" ref="F207">_xll.FDS(A207,"FE_ESTIMATE(EPS,MEAN,QTR_ROLL,-0,0,,,'')")</f>
        <v>0.72</v>
      </c>
    </row>
    <row r="208" spans="1:6" x14ac:dyDescent="0.45">
      <c r="A208" t="s">
        <v>205</v>
      </c>
      <c r="B208" t="str" cm="1">
        <f t="array" ref="B208">_xll.FDS(A208,"FG_COMPANY_NAME")</f>
        <v>General Motors Company</v>
      </c>
      <c r="C208" t="s">
        <v>509</v>
      </c>
      <c r="D208" s="2" cm="1">
        <f t="array" ref="D208">_xll.FDS(A208,"JULIAN(FF_EPS(QTR_R,0).dates)")</f>
        <v>46022</v>
      </c>
      <c r="E208" cm="1">
        <f t="array" ref="E208">_xll.FDS(A208,"FF_EPS(QTR_R,0)")</f>
        <v>-3.6</v>
      </c>
      <c r="F208" cm="1">
        <f t="array" ref="F208">_xll.FDS(A208,"FE_ESTIMATE(EPS,MEAN,QTR_ROLL,-0,0,,,'')")</f>
        <v>2.5099999999999998</v>
      </c>
    </row>
    <row r="209" spans="1:6" x14ac:dyDescent="0.45">
      <c r="A209" t="s">
        <v>206</v>
      </c>
      <c r="B209" t="str" cm="1">
        <f t="array" ref="B209">_xll.FDS(A209,"FG_COMPANY_NAME")</f>
        <v>Generac Holdings Inc.</v>
      </c>
      <c r="C209" t="s">
        <v>512</v>
      </c>
      <c r="D209" s="2" cm="1">
        <f t="array" ref="D209">_xll.FDS(A209,"JULIAN(FF_EPS(QTR_R,0).dates)")</f>
        <v>46022</v>
      </c>
      <c r="E209" cm="1">
        <f t="array" ref="E209">_xll.FDS(A209,"FF_EPS(QTR_R,0)")</f>
        <v>-0.41959999999999997</v>
      </c>
      <c r="F209" cm="1">
        <f t="array" ref="F209">_xll.FDS(A209,"FE_ESTIMATE(EPS,MEAN,QTR_ROLL,-0,0,,,'')")</f>
        <v>1.61</v>
      </c>
    </row>
    <row r="210" spans="1:6" x14ac:dyDescent="0.45">
      <c r="A210" t="s">
        <v>207</v>
      </c>
      <c r="B210" t="str" cm="1">
        <f t="array" ref="B210">_xll.FDS(A210,"FG_COMPANY_NAME")</f>
        <v>Alphabet Inc. Class C</v>
      </c>
      <c r="C210" t="s">
        <v>516</v>
      </c>
      <c r="D210" s="2" cm="1">
        <f t="array" ref="D210">_xll.FDS(A210,"JULIAN(FF_EPS(QTR_R,0).dates)")</f>
        <v>46022</v>
      </c>
      <c r="E210" cm="1">
        <f t="array" ref="E210">_xll.FDS(A210,"FF_EPS(QTR_R,0)")</f>
        <v>2.8176999999999999</v>
      </c>
      <c r="F210" cm="1">
        <f t="array" ref="F210">_xll.FDS(A210,"FE_ESTIMATE(EPS,MEAN,QTR_ROLL,-0,0,,,'')")</f>
        <v>2.82</v>
      </c>
    </row>
    <row r="211" spans="1:6" x14ac:dyDescent="0.45">
      <c r="A211" t="s">
        <v>208</v>
      </c>
      <c r="B211" t="str" cm="1">
        <f t="array" ref="B211">_xll.FDS(A211,"FG_COMPANY_NAME")</f>
        <v>Alphabet Inc. Class A</v>
      </c>
      <c r="C211" t="s">
        <v>516</v>
      </c>
      <c r="D211" s="2" cm="1">
        <f t="array" ref="D211">_xll.FDS(A211,"JULIAN(FF_EPS(QTR_R,0).dates)")</f>
        <v>46022</v>
      </c>
      <c r="E211" cm="1">
        <f t="array" ref="E211">_xll.FDS(A211,"FF_EPS(QTR_R,0)")</f>
        <v>2.8176999999999999</v>
      </c>
      <c r="F211" cm="1">
        <f t="array" ref="F211">_xll.FDS(A211,"FE_ESTIMATE(EPS,MEAN,QTR_ROLL,-0,0,,,'')")</f>
        <v>2.82</v>
      </c>
    </row>
    <row r="212" spans="1:6" x14ac:dyDescent="0.45">
      <c r="A212" t="s">
        <v>209</v>
      </c>
      <c r="B212" t="str" cm="1">
        <f t="array" ref="B212">_xll.FDS(A212,"FG_COMPANY_NAME")</f>
        <v>Genuine Parts Company</v>
      </c>
      <c r="C212" t="s">
        <v>509</v>
      </c>
      <c r="D212" s="2" cm="1">
        <f t="array" ref="D212">_xll.FDS(A212,"JULIAN(FF_EPS(QTR_R,0).dates)")</f>
        <v>46022</v>
      </c>
      <c r="E212" cm="1">
        <f t="array" ref="E212">_xll.FDS(A212,"FF_EPS(QTR_R,0)")</f>
        <v>-4.3879000000000001</v>
      </c>
      <c r="F212" cm="1">
        <f t="array" ref="F212">_xll.FDS(A212,"FE_ESTIMATE(EPS,MEAN,QTR_ROLL,-0,0,,,'')")</f>
        <v>1.55</v>
      </c>
    </row>
    <row r="213" spans="1:6" x14ac:dyDescent="0.45">
      <c r="A213" t="s">
        <v>210</v>
      </c>
      <c r="B213" t="str" cm="1">
        <f t="array" ref="B213">_xll.FDS(A213,"FG_COMPANY_NAME")</f>
        <v>Global Payments Inc.</v>
      </c>
      <c r="C213" t="s">
        <v>510</v>
      </c>
      <c r="D213" s="2" cm="1">
        <f t="array" ref="D213">_xll.FDS(A213,"JULIAN(FF_EPS(QTR_R,0).dates)")</f>
        <v>46022</v>
      </c>
      <c r="E213" cm="1">
        <f t="array" ref="E213">_xll.FDS(A213,"FF_EPS(QTR_R,0)")</f>
        <v>0.89880000000000004</v>
      </c>
      <c r="F213" cm="1">
        <f t="array" ref="F213">_xll.FDS(A213,"FE_ESTIMATE(EPS,MEAN,QTR_ROLL,-0,0,,,'')")</f>
        <v>3.18</v>
      </c>
    </row>
    <row r="214" spans="1:6" x14ac:dyDescent="0.45">
      <c r="A214" t="s">
        <v>211</v>
      </c>
      <c r="B214" t="str" cm="1">
        <f t="array" ref="B214">_xll.FDS(A214,"FG_COMPANY_NAME")</f>
        <v>Garmin Ltd.</v>
      </c>
      <c r="C214" t="s">
        <v>509</v>
      </c>
      <c r="D214" s="2" cm="1">
        <f t="array" ref="D214">_xll.FDS(A214,"JULIAN(FF_EPS(QTR_R,0).dates)")</f>
        <v>46022</v>
      </c>
      <c r="E214" cm="1">
        <f t="array" ref="E214">_xll.FDS(A214,"FF_EPS(QTR_R,0)")</f>
        <v>2.7282999999999999</v>
      </c>
      <c r="F214" cm="1">
        <f t="array" ref="F214">_xll.FDS(A214,"FE_ESTIMATE(EPS,MEAN,QTR_ROLL,-0,0,,,'')")</f>
        <v>2.79</v>
      </c>
    </row>
    <row r="215" spans="1:6" x14ac:dyDescent="0.45">
      <c r="A215" t="s">
        <v>212</v>
      </c>
      <c r="B215" t="str" cm="1">
        <f t="array" ref="B215">_xll.FDS(A215,"FG_COMPANY_NAME")</f>
        <v>Goldman Sachs Group, Inc.</v>
      </c>
      <c r="C215" t="s">
        <v>510</v>
      </c>
      <c r="D215" s="2" cm="1">
        <f t="array" ref="D215">_xll.FDS(A215,"JULIAN(FF_EPS(QTR_R,0).dates)")</f>
        <v>46022</v>
      </c>
      <c r="E215" cm="1">
        <f t="array" ref="E215">_xll.FDS(A215,"FF_EPS(QTR_R,0)")</f>
        <v>14.010899999999999</v>
      </c>
      <c r="F215" cm="1">
        <f t="array" ref="F215">_xll.FDS(A215,"FE_ESTIMATE(EPS,MEAN,QTR_ROLL,-0,0,,,'')")</f>
        <v>14.01</v>
      </c>
    </row>
    <row r="216" spans="1:6" x14ac:dyDescent="0.45">
      <c r="A216" t="s">
        <v>213</v>
      </c>
      <c r="B216" t="str" cm="1">
        <f t="array" ref="B216">_xll.FDS(A216,"FG_COMPANY_NAME")</f>
        <v>W.W. Grainger, Inc.</v>
      </c>
      <c r="C216" t="s">
        <v>512</v>
      </c>
      <c r="D216" s="2" cm="1">
        <f t="array" ref="D216">_xll.FDS(A216,"JULIAN(FF_EPS(QTR_R,0).dates)")</f>
        <v>46022</v>
      </c>
      <c r="E216" cm="1">
        <f t="array" ref="E216">_xll.FDS(A216,"FF_EPS(QTR_R,0)")</f>
        <v>9.4748000000000001</v>
      </c>
      <c r="F216" cm="1">
        <f t="array" ref="F216">_xll.FDS(A216,"FE_ESTIMATE(EPS,MEAN,QTR_ROLL,-0,0,,,'')")</f>
        <v>9.44</v>
      </c>
    </row>
    <row r="217" spans="1:6" x14ac:dyDescent="0.45">
      <c r="A217" t="s">
        <v>214</v>
      </c>
      <c r="B217" t="str" cm="1">
        <f t="array" ref="B217">_xll.FDS(A217,"FG_COMPANY_NAME")</f>
        <v>Halliburton Company</v>
      </c>
      <c r="C217" t="s">
        <v>515</v>
      </c>
      <c r="D217" s="2" cm="1">
        <f t="array" ref="D217">_xll.FDS(A217,"JULIAN(FF_EPS(QTR_R,0).dates)")</f>
        <v>46022</v>
      </c>
      <c r="E217" cm="1">
        <f t="array" ref="E217">_xll.FDS(A217,"FF_EPS(QTR_R,0)")</f>
        <v>0.70120000000000005</v>
      </c>
      <c r="F217" cm="1">
        <f t="array" ref="F217">_xll.FDS(A217,"FE_ESTIMATE(EPS,MEAN,QTR_ROLL,-0,0,,,'')")</f>
        <v>0.69</v>
      </c>
    </row>
    <row r="218" spans="1:6" x14ac:dyDescent="0.45">
      <c r="A218" t="s">
        <v>215</v>
      </c>
      <c r="B218" t="str" cm="1">
        <f t="array" ref="B218">_xll.FDS(A218,"FG_COMPANY_NAME")</f>
        <v>Hasbro, Inc.</v>
      </c>
      <c r="C218" t="s">
        <v>509</v>
      </c>
      <c r="D218" s="2" cm="1">
        <f t="array" ref="D218">_xll.FDS(A218,"JULIAN(FF_EPS(QTR_R,0).dates)")</f>
        <v>46022</v>
      </c>
      <c r="E218" cm="1">
        <f t="array" ref="E218">_xll.FDS(A218,"FF_EPS(QTR_R,0)")</f>
        <v>1.4137</v>
      </c>
      <c r="F218" cm="1">
        <f t="array" ref="F218">_xll.FDS(A218,"FE_ESTIMATE(EPS,MEAN,QTR_ROLL,-0,0,,,'')")</f>
        <v>1.51</v>
      </c>
    </row>
    <row r="219" spans="1:6" x14ac:dyDescent="0.45">
      <c r="A219" t="s">
        <v>216</v>
      </c>
      <c r="B219" t="str" cm="1">
        <f t="array" ref="B219">_xll.FDS(A219,"FG_COMPANY_NAME")</f>
        <v>Huntington Bancshares Incorporated</v>
      </c>
      <c r="C219" t="s">
        <v>510</v>
      </c>
      <c r="D219" s="2" cm="1">
        <f t="array" ref="D219">_xll.FDS(A219,"JULIAN(FF_EPS(QTR_R,0).dates)")</f>
        <v>46022</v>
      </c>
      <c r="E219" cm="1">
        <f t="array" ref="E219">_xll.FDS(A219,"FF_EPS(QTR_R,0)")</f>
        <v>0.30320000000000003</v>
      </c>
      <c r="F219" cm="1">
        <f t="array" ref="F219">_xll.FDS(A219,"FE_ESTIMATE(EPS,MEAN,QTR_ROLL,-0,0,,,'')")</f>
        <v>0.3</v>
      </c>
    </row>
    <row r="220" spans="1:6" x14ac:dyDescent="0.45">
      <c r="A220" t="s">
        <v>217</v>
      </c>
      <c r="B220" t="str" cm="1">
        <f t="array" ref="B220">_xll.FDS(A220,"FG_COMPANY_NAME")</f>
        <v>HCA Healthcare Inc</v>
      </c>
      <c r="C220" t="s">
        <v>507</v>
      </c>
      <c r="D220" s="2" cm="1">
        <f t="array" ref="D220">_xll.FDS(A220,"JULIAN(FF_EPS(QTR_R,0).dates)")</f>
        <v>46022</v>
      </c>
      <c r="E220" cm="1">
        <f t="array" ref="E220">_xll.FDS(A220,"FF_EPS(QTR_R,0)")</f>
        <v>8.1401000000000003</v>
      </c>
      <c r="F220" cm="1">
        <f t="array" ref="F220">_xll.FDS(A220,"FE_ESTIMATE(EPS,MEAN,QTR_ROLL,-0,0,,,'')")</f>
        <v>8.01</v>
      </c>
    </row>
    <row r="221" spans="1:6" x14ac:dyDescent="0.45">
      <c r="A221" t="s">
        <v>218</v>
      </c>
      <c r="B221" t="str" cm="1">
        <f t="array" ref="B221">_xll.FDS(A221,"FG_COMPANY_NAME")</f>
        <v>Home Depot, Inc.</v>
      </c>
      <c r="C221" t="s">
        <v>509</v>
      </c>
      <c r="D221" s="2" cm="1">
        <f t="array" ref="D221">_xll.FDS(A221,"JULIAN(FF_EPS(QTR_R,0).dates)")</f>
        <v>46052</v>
      </c>
      <c r="E221" cm="1">
        <f t="array" ref="E221">_xll.FDS(A221,"FF_EPS(QTR_R,0)")</f>
        <v>2.5838999999999999</v>
      </c>
      <c r="F221" cm="1">
        <f t="array" ref="F221">_xll.FDS(A221,"FE_ESTIMATE(EPS,MEAN,QTR_ROLL,-0,0,,,'')")</f>
        <v>2.72</v>
      </c>
    </row>
    <row r="222" spans="1:6" x14ac:dyDescent="0.45">
      <c r="A222" t="s">
        <v>219</v>
      </c>
      <c r="B222" t="str" cm="1">
        <f t="array" ref="B222">_xll.FDS(A222,"FG_COMPANY_NAME")</f>
        <v>Hologic, Inc.</v>
      </c>
      <c r="C222" t="s">
        <v>507</v>
      </c>
      <c r="D222" s="2" cm="1">
        <f t="array" ref="D222">_xll.FDS(A222,"JULIAN(FF_EPS(QTR_R,0).dates)")</f>
        <v>46022</v>
      </c>
      <c r="E222" cm="1">
        <f t="array" ref="E222">_xll.FDS(A222,"FF_EPS(QTR_R,0)")</f>
        <v>0.79290000000000005</v>
      </c>
      <c r="F222" cm="1">
        <f t="array" ref="F222">_xll.FDS(A222,"FE_ESTIMATE(EPS,MEAN,QTR_ROLL,-0,0,,,'')")</f>
        <v>1.04</v>
      </c>
    </row>
    <row r="223" spans="1:6" x14ac:dyDescent="0.45">
      <c r="A223" t="s">
        <v>220</v>
      </c>
      <c r="B223" t="str" cm="1">
        <f t="array" ref="B223">_xll.FDS(A223,"FG_COMPANY_NAME")</f>
        <v>Honeywell International Inc.</v>
      </c>
      <c r="C223" t="s">
        <v>512</v>
      </c>
      <c r="D223" s="2" cm="1">
        <f t="array" ref="D223">_xll.FDS(A223,"JULIAN(FF_EPS(QTR_R,0).dates)")</f>
        <v>46022</v>
      </c>
      <c r="E223" cm="1">
        <f t="array" ref="E223">_xll.FDS(A223,"FF_EPS(QTR_R,0)")</f>
        <v>0.46200000000000002</v>
      </c>
      <c r="F223" cm="1">
        <f t="array" ref="F223">_xll.FDS(A223,"FE_ESTIMATE(EPS,MEAN,QTR_ROLL,-0,0,,,'')")</f>
        <v>2.59</v>
      </c>
    </row>
    <row r="224" spans="1:6" x14ac:dyDescent="0.45">
      <c r="A224" t="s">
        <v>221</v>
      </c>
      <c r="B224" t="str" cm="1">
        <f t="array" ref="B224">_xll.FDS(A224,"FG_COMPANY_NAME")</f>
        <v>Hewlett Packard Enterprise Co.</v>
      </c>
      <c r="C224" t="s">
        <v>508</v>
      </c>
      <c r="D224" s="2" cm="1">
        <f t="array" ref="D224">_xll.FDS(A224,"JULIAN(FF_EPS(QTR_R,0).dates)")</f>
        <v>46052</v>
      </c>
      <c r="E224" cm="1">
        <f t="array" ref="E224">_xll.FDS(A224,"FF_EPS(QTR_R,0)")</f>
        <v>0.312</v>
      </c>
      <c r="F224" cm="1">
        <f t="array" ref="F224">_xll.FDS(A224,"FE_ESTIMATE(EPS,MEAN,QTR_ROLL,-0,0,,,'')")</f>
        <v>0.65</v>
      </c>
    </row>
    <row r="225" spans="1:6" x14ac:dyDescent="0.45">
      <c r="A225" t="s">
        <v>222</v>
      </c>
      <c r="B225" t="str" cm="1">
        <f t="array" ref="B225">_xll.FDS(A225,"FG_COMPANY_NAME")</f>
        <v>HP Inc.</v>
      </c>
      <c r="C225" t="s">
        <v>508</v>
      </c>
      <c r="D225" s="2" cm="1">
        <f t="array" ref="D225">_xll.FDS(A225,"JULIAN(FF_EPS(QTR_R,0).dates)")</f>
        <v>46052</v>
      </c>
      <c r="E225" cm="1">
        <f t="array" ref="E225">_xll.FDS(A225,"FF_EPS(QTR_R,0)")</f>
        <v>0.58479999999999999</v>
      </c>
      <c r="F225" cm="1">
        <f t="array" ref="F225">_xll.FDS(A225,"FE_ESTIMATE(EPS,MEAN,QTR_ROLL,-0,0,,,'')")</f>
        <v>0.81</v>
      </c>
    </row>
    <row r="226" spans="1:6" x14ac:dyDescent="0.45">
      <c r="A226" t="s">
        <v>223</v>
      </c>
      <c r="B226" t="str" cm="1">
        <f t="array" ref="B226">_xll.FDS(A226,"FG_COMPANY_NAME")</f>
        <v>Hormel Foods Corporation</v>
      </c>
      <c r="C226" t="s">
        <v>511</v>
      </c>
      <c r="D226" s="2" cm="1">
        <f t="array" ref="D226">_xll.FDS(A226,"JULIAN(FF_EPS(QTR_R,0).dates)")</f>
        <v>46052</v>
      </c>
      <c r="E226" cm="1">
        <f t="array" ref="E226">_xll.FDS(A226,"FF_EPS(QTR_R,0)")</f>
        <v>0.3301</v>
      </c>
      <c r="F226" cm="1">
        <f t="array" ref="F226">_xll.FDS(A226,"FE_ESTIMATE(EPS,MEAN,QTR_ROLL,-0,0,,,'')")</f>
        <v>0.34</v>
      </c>
    </row>
    <row r="227" spans="1:6" x14ac:dyDescent="0.45">
      <c r="A227" t="s">
        <v>224</v>
      </c>
      <c r="B227" t="str" cm="1">
        <f t="array" ref="B227">_xll.FDS(A227,"FG_COMPANY_NAME")</f>
        <v>Henry Schein, Inc.</v>
      </c>
      <c r="C227" t="s">
        <v>507</v>
      </c>
      <c r="D227" s="2" cm="1">
        <f t="array" ref="D227">_xll.FDS(A227,"JULIAN(FF_EPS(QTR_R,0).dates)")</f>
        <v>46022</v>
      </c>
      <c r="E227" cm="1">
        <f t="array" ref="E227">_xll.FDS(A227,"FF_EPS(QTR_R,0)")</f>
        <v>0.85350000000000004</v>
      </c>
      <c r="F227" cm="1">
        <f t="array" ref="F227">_xll.FDS(A227,"FE_ESTIMATE(EPS,MEAN,QTR_ROLL,-0,0,,,'')")</f>
        <v>1.34</v>
      </c>
    </row>
    <row r="228" spans="1:6" x14ac:dyDescent="0.45">
      <c r="A228" t="s">
        <v>225</v>
      </c>
      <c r="B228" t="str" cm="1">
        <f t="array" ref="B228">_xll.FDS(A228,"FG_COMPANY_NAME")</f>
        <v>Host Hotels &amp; Resorts, Inc.</v>
      </c>
      <c r="C228" t="s">
        <v>514</v>
      </c>
      <c r="D228" s="2" cm="1">
        <f t="array" ref="D228">_xll.FDS(A228,"JULIAN(FF_EPS(QTR_R,0).dates)")</f>
        <v>46022</v>
      </c>
      <c r="E228" cm="1">
        <f t="array" ref="E228">_xll.FDS(A228,"FF_EPS(QTR_R,0)")</f>
        <v>0.19550000000000001</v>
      </c>
      <c r="F228" cm="1">
        <f t="array" ref="F228">_xll.FDS(A228,"FE_ESTIMATE(EPS,MEAN,QTR_ROLL,-0,0,,,'')")</f>
        <v>0.2</v>
      </c>
    </row>
    <row r="229" spans="1:6" x14ac:dyDescent="0.45">
      <c r="A229" t="s">
        <v>226</v>
      </c>
      <c r="B229" t="str" cm="1">
        <f t="array" ref="B229">_xll.FDS(A229,"FG_COMPANY_NAME")</f>
        <v>Hershey Company</v>
      </c>
      <c r="C229" t="s">
        <v>511</v>
      </c>
      <c r="D229" s="2" cm="1">
        <f t="array" ref="D229">_xll.FDS(A229,"JULIAN(FF_EPS(QTR_R,0).dates)")</f>
        <v>46022</v>
      </c>
      <c r="E229" cm="1">
        <f t="array" ref="E229">_xll.FDS(A229,"FF_EPS(QTR_R,0)")</f>
        <v>1.575</v>
      </c>
      <c r="F229" cm="1">
        <f t="array" ref="F229">_xll.FDS(A229,"FE_ESTIMATE(EPS,MEAN,QTR_ROLL,-0,0,,,'')")</f>
        <v>1.71</v>
      </c>
    </row>
    <row r="230" spans="1:6" x14ac:dyDescent="0.45">
      <c r="A230" t="s">
        <v>227</v>
      </c>
      <c r="B230" t="str" cm="1">
        <f t="array" ref="B230">_xll.FDS(A230,"FG_COMPANY_NAME")</f>
        <v>Hubbell Incorporated</v>
      </c>
      <c r="C230" t="s">
        <v>512</v>
      </c>
      <c r="D230" s="2" cm="1">
        <f t="array" ref="D230">_xll.FDS(A230,"JULIAN(FF_EPS(QTR_R,0).dates)")</f>
        <v>46022</v>
      </c>
      <c r="E230" cm="1">
        <f t="array" ref="E230">_xll.FDS(A230,"FF_EPS(QTR_R,0)")</f>
        <v>4.1832000000000003</v>
      </c>
      <c r="F230" cm="1">
        <f t="array" ref="F230">_xll.FDS(A230,"FE_ESTIMATE(EPS,MEAN,QTR_ROLL,-0,0,,,'')")</f>
        <v>4.7300000000000004</v>
      </c>
    </row>
    <row r="231" spans="1:6" x14ac:dyDescent="0.45">
      <c r="A231" t="s">
        <v>228</v>
      </c>
      <c r="B231" t="str" cm="1">
        <f t="array" ref="B231">_xll.FDS(A231,"FG_COMPANY_NAME")</f>
        <v>Humana Inc.</v>
      </c>
      <c r="C231" t="s">
        <v>507</v>
      </c>
      <c r="D231" s="2" cm="1">
        <f t="array" ref="D231">_xll.FDS(A231,"JULIAN(FF_EPS(QTR_R,0).dates)")</f>
        <v>46022</v>
      </c>
      <c r="E231" cm="1">
        <f t="array" ref="E231">_xll.FDS(A231,"FF_EPS(QTR_R,0)")</f>
        <v>-6.6146000000000003</v>
      </c>
      <c r="F231" cm="1">
        <f t="array" ref="F231">_xll.FDS(A231,"FE_ESTIMATE(EPS,MEAN,QTR_ROLL,-0,0,,,'')")</f>
        <v>-3.96</v>
      </c>
    </row>
    <row r="232" spans="1:6" x14ac:dyDescent="0.45">
      <c r="A232" t="s">
        <v>229</v>
      </c>
      <c r="B232" t="str" cm="1">
        <f t="array" ref="B232">_xll.FDS(A232,"FG_COMPANY_NAME")</f>
        <v>Howmet Aerospace Inc.</v>
      </c>
      <c r="C232" t="s">
        <v>512</v>
      </c>
      <c r="D232" s="2" cm="1">
        <f t="array" ref="D232">_xll.FDS(A232,"JULIAN(FF_EPS(QTR_R,0).dates)")</f>
        <v>46022</v>
      </c>
      <c r="E232" cm="1">
        <f t="array" ref="E232">_xll.FDS(A232,"FF_EPS(QTR_R,0)")</f>
        <v>0.92079999999999995</v>
      </c>
      <c r="F232" cm="1">
        <f t="array" ref="F232">_xll.FDS(A232,"FE_ESTIMATE(EPS,MEAN,QTR_ROLL,-0,0,,,'')")</f>
        <v>1.05</v>
      </c>
    </row>
    <row r="233" spans="1:6" x14ac:dyDescent="0.45">
      <c r="A233" t="s">
        <v>230</v>
      </c>
      <c r="B233" t="str" cm="1">
        <f t="array" ref="B233">_xll.FDS(A233,"FG_COMPANY_NAME")</f>
        <v>International Business Machines Corporation</v>
      </c>
      <c r="C233" t="s">
        <v>508</v>
      </c>
      <c r="D233" s="2" cm="1">
        <f t="array" ref="D233">_xll.FDS(A233,"JULIAN(FF_EPS(QTR_R,0).dates)")</f>
        <v>46022</v>
      </c>
      <c r="E233" cm="1">
        <f t="array" ref="E233">_xll.FDS(A233,"FF_EPS(QTR_R,0)")</f>
        <v>5.8799000000000001</v>
      </c>
      <c r="F233" cm="1">
        <f t="array" ref="F233">_xll.FDS(A233,"FE_ESTIMATE(EPS,MEAN,QTR_ROLL,-0,0,,,'')")</f>
        <v>4.5199999999999996</v>
      </c>
    </row>
    <row r="234" spans="1:6" x14ac:dyDescent="0.45">
      <c r="A234" t="s">
        <v>231</v>
      </c>
      <c r="B234" t="str" cm="1">
        <f t="array" ref="B234">_xll.FDS(A234,"FG_COMPANY_NAME")</f>
        <v>Intercontinental Exchange, Inc.</v>
      </c>
      <c r="C234" t="s">
        <v>510</v>
      </c>
      <c r="D234" s="2" cm="1">
        <f t="array" ref="D234">_xll.FDS(A234,"JULIAN(FF_EPS(QTR_R,0).dates)")</f>
        <v>46022</v>
      </c>
      <c r="E234" cm="1">
        <f t="array" ref="E234">_xll.FDS(A234,"FF_EPS(QTR_R,0)")</f>
        <v>1.4878</v>
      </c>
      <c r="F234" cm="1">
        <f t="array" ref="F234">_xll.FDS(A234,"FE_ESTIMATE(EPS,MEAN,QTR_ROLL,-0,0,,,'')")</f>
        <v>1.71</v>
      </c>
    </row>
    <row r="235" spans="1:6" x14ac:dyDescent="0.45">
      <c r="A235" t="s">
        <v>232</v>
      </c>
      <c r="B235" t="str" cm="1">
        <f t="array" ref="B235">_xll.FDS(A235,"FG_COMPANY_NAME")</f>
        <v>IDEXX Laboratories, Inc.</v>
      </c>
      <c r="C235" t="s">
        <v>507</v>
      </c>
      <c r="D235" s="2" cm="1">
        <f t="array" ref="D235">_xll.FDS(A235,"JULIAN(FF_EPS(QTR_R,0).dates)")</f>
        <v>46022</v>
      </c>
      <c r="E235" cm="1">
        <f t="array" ref="E235">_xll.FDS(A235,"FF_EPS(QTR_R,0)")</f>
        <v>3.0838000000000001</v>
      </c>
      <c r="F235" cm="1">
        <f t="array" ref="F235">_xll.FDS(A235,"FE_ESTIMATE(EPS,MEAN,QTR_ROLL,-0,0,,,'')")</f>
        <v>3.08</v>
      </c>
    </row>
    <row r="236" spans="1:6" x14ac:dyDescent="0.45">
      <c r="A236" t="s">
        <v>233</v>
      </c>
      <c r="B236" t="str" cm="1">
        <f t="array" ref="B236">_xll.FDS(A236,"FG_COMPANY_NAME")</f>
        <v>IDEX Corporation</v>
      </c>
      <c r="C236" t="s">
        <v>512</v>
      </c>
      <c r="D236" s="2" cm="1">
        <f t="array" ref="D236">_xll.FDS(A236,"JULIAN(FF_EPS(QTR_R,0).dates)")</f>
        <v>46022</v>
      </c>
      <c r="E236" cm="1">
        <f t="array" ref="E236">_xll.FDS(A236,"FF_EPS(QTR_R,0)")</f>
        <v>1.7152000000000001</v>
      </c>
      <c r="F236" cm="1">
        <f t="array" ref="F236">_xll.FDS(A236,"FE_ESTIMATE(EPS,MEAN,QTR_ROLL,-0,0,,,'')")</f>
        <v>2.1</v>
      </c>
    </row>
    <row r="237" spans="1:6" x14ac:dyDescent="0.45">
      <c r="A237" t="s">
        <v>234</v>
      </c>
      <c r="B237" t="str" cm="1">
        <f t="array" ref="B237">_xll.FDS(A237,"FG_COMPANY_NAME")</f>
        <v>International Flavors &amp; Fragrances Inc.</v>
      </c>
      <c r="C237" t="s">
        <v>513</v>
      </c>
      <c r="D237" s="2" cm="1">
        <f t="array" ref="D237">_xll.FDS(A237,"JULIAN(FF_EPS(QTR_R,0).dates)")</f>
        <v>46022</v>
      </c>
      <c r="E237" cm="1">
        <f t="array" ref="E237">_xll.FDS(A237,"FF_EPS(QTR_R,0)")</f>
        <v>7.0000000000000007E-2</v>
      </c>
      <c r="F237" cm="1">
        <f t="array" ref="F237">_xll.FDS(A237,"FE_ESTIMATE(EPS,MEAN,QTR_ROLL,-0,0,,,'')")</f>
        <v>0.8</v>
      </c>
    </row>
    <row r="238" spans="1:6" x14ac:dyDescent="0.45">
      <c r="A238" t="s">
        <v>235</v>
      </c>
      <c r="B238" t="str" cm="1">
        <f t="array" ref="B238">_xll.FDS(A238,"FG_COMPANY_NAME")</f>
        <v>Illumina, Inc.</v>
      </c>
      <c r="C238" t="s">
        <v>507</v>
      </c>
      <c r="D238" s="2" cm="1">
        <f t="array" ref="D238">_xll.FDS(A238,"JULIAN(FF_EPS(QTR_R,0).dates)")</f>
        <v>46022</v>
      </c>
      <c r="E238" cm="1">
        <f t="array" ref="E238">_xll.FDS(A238,"FF_EPS(QTR_R,0)")</f>
        <v>2.1688000000000001</v>
      </c>
      <c r="F238" cm="1">
        <f t="array" ref="F238">_xll.FDS(A238,"FE_ESTIMATE(EPS,MEAN,QTR_ROLL,-0,0,,,'')")</f>
        <v>1.35</v>
      </c>
    </row>
    <row r="239" spans="1:6" x14ac:dyDescent="0.45">
      <c r="A239" t="s">
        <v>236</v>
      </c>
      <c r="B239" t="str" cm="1">
        <f t="array" ref="B239">_xll.FDS(A239,"FG_COMPANY_NAME")</f>
        <v>Incyte Corporation</v>
      </c>
      <c r="C239" t="s">
        <v>507</v>
      </c>
      <c r="D239" s="2" cm="1">
        <f t="array" ref="D239">_xll.FDS(A239,"JULIAN(FF_EPS(QTR_R,0).dates)")</f>
        <v>46022</v>
      </c>
      <c r="E239" cm="1">
        <f t="array" ref="E239">_xll.FDS(A239,"FF_EPS(QTR_R,0)")</f>
        <v>1.4616</v>
      </c>
      <c r="F239" cm="1">
        <f t="array" ref="F239">_xll.FDS(A239,"FE_ESTIMATE(EPS,MEAN,QTR_ROLL,-0,0,,,'')")</f>
        <v>1.8</v>
      </c>
    </row>
    <row r="240" spans="1:6" x14ac:dyDescent="0.45">
      <c r="A240" t="s">
        <v>237</v>
      </c>
      <c r="B240" t="str" cm="1">
        <f t="array" ref="B240">_xll.FDS(A240,"FG_COMPANY_NAME")</f>
        <v>Intel Corporation</v>
      </c>
      <c r="C240" t="s">
        <v>508</v>
      </c>
      <c r="D240" s="2" cm="1">
        <f t="array" ref="D240">_xll.FDS(A240,"JULIAN(FF_EPS(QTR_R,0).dates)")</f>
        <v>46022</v>
      </c>
      <c r="E240" cm="1">
        <f t="array" ref="E240">_xll.FDS(A240,"FF_EPS(QTR_R,0)")</f>
        <v>-0.1217</v>
      </c>
      <c r="F240" cm="1">
        <f t="array" ref="F240">_xll.FDS(A240,"FE_ESTIMATE(EPS,MEAN,QTR_ROLL,-0,0,,,'')")</f>
        <v>0.15</v>
      </c>
    </row>
    <row r="241" spans="1:6" x14ac:dyDescent="0.45">
      <c r="A241" t="s">
        <v>238</v>
      </c>
      <c r="B241" t="str" cm="1">
        <f t="array" ref="B241">_xll.FDS(A241,"FG_COMPANY_NAME")</f>
        <v>Intuit Inc.</v>
      </c>
      <c r="C241" t="s">
        <v>508</v>
      </c>
      <c r="D241" s="2" cm="1">
        <f t="array" ref="D241">_xll.FDS(A241,"JULIAN(FF_EPS(QTR_R,0).dates)")</f>
        <v>46052</v>
      </c>
      <c r="E241" cm="1">
        <f t="array" ref="E241">_xll.FDS(A241,"FF_EPS(QTR_R,0)")</f>
        <v>2.4750000000000001</v>
      </c>
      <c r="F241" cm="1">
        <f t="array" ref="F241">_xll.FDS(A241,"FE_ESTIMATE(EPS,MEAN,QTR_ROLL,-0,0,,,'')")</f>
        <v>4.1500000000000004</v>
      </c>
    </row>
    <row r="242" spans="1:6" x14ac:dyDescent="0.45">
      <c r="A242" t="s">
        <v>239</v>
      </c>
      <c r="B242" t="str" cm="1">
        <f t="array" ref="B242">_xll.FDS(A242,"FG_COMPANY_NAME")</f>
        <v>Invitation Homes, Inc.</v>
      </c>
      <c r="C242" t="s">
        <v>514</v>
      </c>
      <c r="D242" s="2" cm="1">
        <f t="array" ref="D242">_xll.FDS(A242,"JULIAN(FF_EPS(QTR_R,0).dates)")</f>
        <v>46022</v>
      </c>
      <c r="E242" cm="1">
        <f t="array" ref="E242">_xll.FDS(A242,"FF_EPS(QTR_R,0)")</f>
        <v>0.14660000000000001</v>
      </c>
      <c r="F242" cm="1">
        <f t="array" ref="F242">_xll.FDS(A242,"FE_ESTIMATE(EPS,MEAN,QTR_ROLL,-0,0,,,'')")</f>
        <v>0.24</v>
      </c>
    </row>
    <row r="243" spans="1:6" x14ac:dyDescent="0.45">
      <c r="A243" t="s">
        <v>240</v>
      </c>
      <c r="B243" t="str" cm="1">
        <f t="array" ref="B243">_xll.FDS(A243,"FG_COMPANY_NAME")</f>
        <v>International Paper Company</v>
      </c>
      <c r="C243" t="s">
        <v>513</v>
      </c>
      <c r="D243" s="2" cm="1">
        <f t="array" ref="D243">_xll.FDS(A243,"JULIAN(FF_EPS(QTR_R,0).dates)")</f>
        <v>46022</v>
      </c>
      <c r="E243" cm="1">
        <f t="array" ref="E243">_xll.FDS(A243,"FF_EPS(QTR_R,0)")</f>
        <v>-4.5152000000000001</v>
      </c>
      <c r="F243" cm="1">
        <f t="array" ref="F243">_xll.FDS(A243,"FE_ESTIMATE(EPS,MEAN,QTR_ROLL,-0,0,,,'')")</f>
        <v>-0.08</v>
      </c>
    </row>
    <row r="244" spans="1:6" x14ac:dyDescent="0.45">
      <c r="A244" t="s">
        <v>241</v>
      </c>
      <c r="B244" t="str" cm="1">
        <f t="array" ref="B244">_xll.FDS(A244,"FG_COMPANY_NAME")</f>
        <v>Interpublic Group of Companies, Inc.</v>
      </c>
      <c r="C244" t="s">
        <v>516</v>
      </c>
      <c r="D244" s="2" cm="1">
        <f t="array" ref="D244">_xll.FDS(A244,"JULIAN(FF_EPS(QTR_R,0).dates)")</f>
        <v>45930</v>
      </c>
      <c r="E244" cm="1">
        <f t="array" ref="E244">_xll.FDS(A244,"FF_EPS(QTR_R,0)")</f>
        <v>0.33750000000000002</v>
      </c>
      <c r="F244" cm="1">
        <f t="array" ref="F244">_xll.FDS(A244,"FE_ESTIMATE(EPS,MEAN,QTR_ROLL,-0,0,,,'')")</f>
        <v>0.75</v>
      </c>
    </row>
    <row r="245" spans="1:6" x14ac:dyDescent="0.45">
      <c r="A245" t="s">
        <v>242</v>
      </c>
      <c r="B245" t="str" cm="1">
        <f t="array" ref="B245">_xll.FDS(A245,"FG_COMPANY_NAME")</f>
        <v>IQVIA Holdings Inc</v>
      </c>
      <c r="C245" t="s">
        <v>507</v>
      </c>
      <c r="D245" s="2" cm="1">
        <f t="array" ref="D245">_xll.FDS(A245,"JULIAN(FF_EPS(QTR_R,0).dates)")</f>
        <v>46022</v>
      </c>
      <c r="E245" cm="1">
        <f t="array" ref="E245">_xll.FDS(A245,"FF_EPS(QTR_R,0)")</f>
        <v>2.9901</v>
      </c>
      <c r="F245" cm="1">
        <f t="array" ref="F245">_xll.FDS(A245,"FE_ESTIMATE(EPS,MEAN,QTR_ROLL,-0,0,,,'')")</f>
        <v>3.42</v>
      </c>
    </row>
    <row r="246" spans="1:6" x14ac:dyDescent="0.45">
      <c r="A246" t="s">
        <v>243</v>
      </c>
      <c r="B246" t="str" cm="1">
        <f t="array" ref="B246">_xll.FDS(A246,"FG_COMPANY_NAME")</f>
        <v>Ingersoll Rand Inc.</v>
      </c>
      <c r="C246" t="s">
        <v>512</v>
      </c>
      <c r="D246" s="2" cm="1">
        <f t="array" ref="D246">_xll.FDS(A246,"JULIAN(FF_EPS(QTR_R,0).dates)")</f>
        <v>46022</v>
      </c>
      <c r="E246" cm="1">
        <f t="array" ref="E246">_xll.FDS(A246,"FF_EPS(QTR_R,0)")</f>
        <v>0.67230000000000001</v>
      </c>
      <c r="F246" cm="1">
        <f t="array" ref="F246">_xll.FDS(A246,"FE_ESTIMATE(EPS,MEAN,QTR_ROLL,-0,0,,,'')")</f>
        <v>0.96</v>
      </c>
    </row>
    <row r="247" spans="1:6" x14ac:dyDescent="0.45">
      <c r="A247" t="s">
        <v>244</v>
      </c>
      <c r="B247" t="str" cm="1">
        <f t="array" ref="B247">_xll.FDS(A247,"FG_COMPANY_NAME")</f>
        <v>Iron Mountain, Inc.</v>
      </c>
      <c r="C247" t="s">
        <v>514</v>
      </c>
      <c r="D247" s="2" cm="1">
        <f t="array" ref="D247">_xll.FDS(A247,"JULIAN(FF_EPS(QTR_R,0).dates)")</f>
        <v>46022</v>
      </c>
      <c r="E247" cm="1">
        <f t="array" ref="E247">_xll.FDS(A247,"FF_EPS(QTR_R,0)")</f>
        <v>0.29920000000000002</v>
      </c>
      <c r="F247" cm="1">
        <f t="array" ref="F247">_xll.FDS(A247,"FE_ESTIMATE(EPS,MEAN,QTR_ROLL,-0,0,,,'')")</f>
        <v>0.61</v>
      </c>
    </row>
    <row r="248" spans="1:6" x14ac:dyDescent="0.45">
      <c r="A248" t="s">
        <v>245</v>
      </c>
      <c r="B248" t="str" cm="1">
        <f t="array" ref="B248">_xll.FDS(A248,"FG_COMPANY_NAME")</f>
        <v>Intuitive Surgical, Inc.</v>
      </c>
      <c r="C248" t="s">
        <v>507</v>
      </c>
      <c r="D248" s="2" cm="1">
        <f t="array" ref="D248">_xll.FDS(A248,"JULIAN(FF_EPS(QTR_R,0).dates)")</f>
        <v>46022</v>
      </c>
      <c r="E248" cm="1">
        <f t="array" ref="E248">_xll.FDS(A248,"FF_EPS(QTR_R,0)")</f>
        <v>2.2052999999999998</v>
      </c>
      <c r="F248" cm="1">
        <f t="array" ref="F248">_xll.FDS(A248,"FE_ESTIMATE(EPS,MEAN,QTR_ROLL,-0,0,,,'')")</f>
        <v>2.5299999999999998</v>
      </c>
    </row>
    <row r="249" spans="1:6" x14ac:dyDescent="0.45">
      <c r="A249" t="s">
        <v>246</v>
      </c>
      <c r="B249" t="str" cm="1">
        <f t="array" ref="B249">_xll.FDS(A249,"FG_COMPANY_NAME")</f>
        <v>Gartner, Inc.</v>
      </c>
      <c r="C249" t="s">
        <v>508</v>
      </c>
      <c r="D249" s="2" cm="1">
        <f t="array" ref="D249">_xll.FDS(A249,"JULIAN(FF_EPS(QTR_R,0).dates)")</f>
        <v>46022</v>
      </c>
      <c r="E249" cm="1">
        <f t="array" ref="E249">_xll.FDS(A249,"FF_EPS(QTR_R,0)")</f>
        <v>3.3578000000000001</v>
      </c>
      <c r="F249" cm="1">
        <f t="array" ref="F249">_xll.FDS(A249,"FE_ESTIMATE(EPS,MEAN,QTR_ROLL,-0,0,,,'')")</f>
        <v>3.94</v>
      </c>
    </row>
    <row r="250" spans="1:6" x14ac:dyDescent="0.45">
      <c r="A250" t="s">
        <v>247</v>
      </c>
      <c r="B250" t="str" cm="1">
        <f t="array" ref="B250">_xll.FDS(A250,"FG_COMPANY_NAME")</f>
        <v>Illinois Tool Works Inc.</v>
      </c>
      <c r="C250" t="s">
        <v>512</v>
      </c>
      <c r="D250" s="2" cm="1">
        <f t="array" ref="D250">_xll.FDS(A250,"JULIAN(FF_EPS(QTR_R,0).dates)")</f>
        <v>46022</v>
      </c>
      <c r="E250" cm="1">
        <f t="array" ref="E250">_xll.FDS(A250,"FF_EPS(QTR_R,0)")</f>
        <v>2.7223000000000002</v>
      </c>
      <c r="F250" cm="1">
        <f t="array" ref="F250">_xll.FDS(A250,"FE_ESTIMATE(EPS,MEAN,QTR_ROLL,-0,0,,,'')")</f>
        <v>2.72</v>
      </c>
    </row>
    <row r="251" spans="1:6" x14ac:dyDescent="0.45">
      <c r="A251" t="s">
        <v>248</v>
      </c>
      <c r="B251" t="str" cm="1">
        <f t="array" ref="B251">_xll.FDS(A251,"FG_COMPANY_NAME")</f>
        <v>Invesco Ltd.</v>
      </c>
      <c r="C251" t="s">
        <v>510</v>
      </c>
      <c r="D251" s="2" cm="1">
        <f t="array" ref="D251">_xll.FDS(A251,"JULIAN(FF_EPS(QTR_R,0).dates)")</f>
        <v>46022</v>
      </c>
      <c r="E251" cm="1">
        <f t="array" ref="E251">_xll.FDS(A251,"FF_EPS(QTR_R,0)")</f>
        <v>-2.629</v>
      </c>
      <c r="F251" cm="1">
        <f t="array" ref="F251">_xll.FDS(A251,"FE_ESTIMATE(EPS,MEAN,QTR_ROLL,-0,0,,,'')")</f>
        <v>0.62</v>
      </c>
    </row>
    <row r="252" spans="1:6" x14ac:dyDescent="0.45">
      <c r="A252" t="s">
        <v>249</v>
      </c>
      <c r="B252" t="str" cm="1">
        <f t="array" ref="B252">_xll.FDS(A252,"FG_COMPANY_NAME")</f>
        <v>Jacobs Solutions Inc.</v>
      </c>
      <c r="C252" t="s">
        <v>512</v>
      </c>
      <c r="D252" s="2" cm="1">
        <f t="array" ref="D252">_xll.FDS(A252,"JULIAN(FF_EPS(QTR_R,0).dates)")</f>
        <v>46022</v>
      </c>
      <c r="E252" cm="1">
        <f t="array" ref="E252">_xll.FDS(A252,"FF_EPS(QTR_R,0)")</f>
        <v>1.1192</v>
      </c>
      <c r="F252" cm="1">
        <f t="array" ref="F252">_xll.FDS(A252,"FE_ESTIMATE(EPS,MEAN,QTR_ROLL,-0,0,,,'')")</f>
        <v>1.53</v>
      </c>
    </row>
    <row r="253" spans="1:6" x14ac:dyDescent="0.45">
      <c r="A253" t="s">
        <v>250</v>
      </c>
      <c r="B253" t="str" cm="1">
        <f t="array" ref="B253">_xll.FDS(A253,"FG_COMPANY_NAME")</f>
        <v>J.B. Hunt Transport Services, Inc.</v>
      </c>
      <c r="C253" t="s">
        <v>512</v>
      </c>
      <c r="D253" s="2" cm="1">
        <f t="array" ref="D253">_xll.FDS(A253,"JULIAN(FF_EPS(QTR_R,0).dates)")</f>
        <v>46022</v>
      </c>
      <c r="E253" cm="1">
        <f t="array" ref="E253">_xll.FDS(A253,"FF_EPS(QTR_R,0)")</f>
        <v>1.8958999999999999</v>
      </c>
      <c r="F253" cm="1">
        <f t="array" ref="F253">_xll.FDS(A253,"FE_ESTIMATE(EPS,MEAN,QTR_ROLL,-0,0,,,'')")</f>
        <v>1.9</v>
      </c>
    </row>
    <row r="254" spans="1:6" x14ac:dyDescent="0.45">
      <c r="A254" t="s">
        <v>251</v>
      </c>
      <c r="B254" t="str" cm="1">
        <f t="array" ref="B254">_xll.FDS(A254,"FG_COMPANY_NAME")</f>
        <v>Jabil Inc.</v>
      </c>
      <c r="C254" t="s">
        <v>508</v>
      </c>
      <c r="D254" s="2" cm="1">
        <f t="array" ref="D254">_xll.FDS(A254,"JULIAN(FF_EPS(QTR_R,0).dates)")</f>
        <v>46080</v>
      </c>
      <c r="E254" cm="1">
        <f t="array" ref="E254">_xll.FDS(A254,"FF_EPS(QTR_R,0)")</f>
        <v>2.08</v>
      </c>
      <c r="F254" cm="1">
        <f t="array" ref="F254">_xll.FDS(A254,"FE_ESTIMATE(EPS,MEAN,QTR_ROLL,-0,0,,,'')")</f>
        <v>2.69</v>
      </c>
    </row>
    <row r="255" spans="1:6" x14ac:dyDescent="0.45">
      <c r="A255" t="s">
        <v>252</v>
      </c>
      <c r="B255" t="str" cm="1">
        <f t="array" ref="B255">_xll.FDS(A255,"FG_COMPANY_NAME")</f>
        <v>Johnson Controls International plc</v>
      </c>
      <c r="C255" t="s">
        <v>512</v>
      </c>
      <c r="D255" s="2" cm="1">
        <f t="array" ref="D255">_xll.FDS(A255,"JULIAN(FF_EPS(QTR_R,0).dates)")</f>
        <v>46022</v>
      </c>
      <c r="E255" cm="1">
        <f t="array" ref="E255">_xll.FDS(A255,"FF_EPS(QTR_R,0)")</f>
        <v>0.85340000000000005</v>
      </c>
      <c r="F255" cm="1">
        <f t="array" ref="F255">_xll.FDS(A255,"FE_ESTIMATE(EPS,MEAN,QTR_ROLL,-0,0,,,'')")</f>
        <v>0.89</v>
      </c>
    </row>
    <row r="256" spans="1:6" x14ac:dyDescent="0.45">
      <c r="A256" t="s">
        <v>253</v>
      </c>
      <c r="B256" t="str" cm="1">
        <f t="array" ref="B256">_xll.FDS(A256,"FG_COMPANY_NAME")</f>
        <v>Jack Henry &amp; Associates, Inc.</v>
      </c>
      <c r="C256" t="s">
        <v>510</v>
      </c>
      <c r="D256" s="2" cm="1">
        <f t="array" ref="D256">_xll.FDS(A256,"JULIAN(FF_EPS(QTR_R,0).dates)")</f>
        <v>46022</v>
      </c>
      <c r="E256" cm="1">
        <f t="array" ref="E256">_xll.FDS(A256,"FF_EPS(QTR_R,0)")</f>
        <v>1.7216</v>
      </c>
      <c r="F256" cm="1">
        <f t="array" ref="F256">_xll.FDS(A256,"FE_ESTIMATE(EPS,MEAN,QTR_ROLL,-0,0,,,'')")</f>
        <v>1.72</v>
      </c>
    </row>
    <row r="257" spans="1:6" x14ac:dyDescent="0.45">
      <c r="A257" t="s">
        <v>254</v>
      </c>
      <c r="B257" t="str" cm="1">
        <f t="array" ref="B257">_xll.FDS(A257,"FG_COMPANY_NAME")</f>
        <v>Johnson &amp; Johnson</v>
      </c>
      <c r="C257" t="s">
        <v>507</v>
      </c>
      <c r="D257" s="2" cm="1">
        <f t="array" ref="D257">_xll.FDS(A257,"JULIAN(FF_EPS(QTR_R,0).dates)")</f>
        <v>46022</v>
      </c>
      <c r="E257" cm="1">
        <f t="array" ref="E257">_xll.FDS(A257,"FF_EPS(QTR_R,0)")</f>
        <v>2.0975999999999999</v>
      </c>
      <c r="F257" cm="1">
        <f t="array" ref="F257">_xll.FDS(A257,"FE_ESTIMATE(EPS,MEAN,QTR_ROLL,-0,0,,,'')")</f>
        <v>2.46</v>
      </c>
    </row>
    <row r="258" spans="1:6" x14ac:dyDescent="0.45">
      <c r="A258" t="s">
        <v>255</v>
      </c>
      <c r="B258" t="str" cm="1">
        <f t="array" ref="B258">_xll.FDS(A258,"FG_COMPANY_NAME")</f>
        <v>Juniper Networks, Inc.</v>
      </c>
      <c r="C258" t="s">
        <v>508</v>
      </c>
      <c r="D258" s="2" cm="1">
        <f t="array" ref="D258">_xll.FDS(A258,"JULIAN(FF_EPS(QTR_R,0).dates)")</f>
        <v>45838</v>
      </c>
      <c r="E258" cm="1">
        <f t="array" ref="E258">_xll.FDS(A258,"FF_EPS(QTR_R,0)")</f>
        <v>0.21</v>
      </c>
      <c r="F258" t="e" cm="1">
        <f t="array" ref="F258">_xll.FDS(A258,"FE_ESTIMATE(EPS,MEAN,QTR_ROLL,-0,0,,,'')")</f>
        <v>#N/A</v>
      </c>
    </row>
    <row r="259" spans="1:6" x14ac:dyDescent="0.45">
      <c r="A259" t="s">
        <v>256</v>
      </c>
      <c r="B259" t="str" cm="1">
        <f t="array" ref="B259">_xll.FDS(A259,"FG_COMPANY_NAME")</f>
        <v>JPMorgan Chase &amp; Co.</v>
      </c>
      <c r="C259" t="s">
        <v>510</v>
      </c>
      <c r="D259" s="2" cm="1">
        <f t="array" ref="D259">_xll.FDS(A259,"JULIAN(FF_EPS(QTR_R,0).dates)")</f>
        <v>46022</v>
      </c>
      <c r="E259" cm="1">
        <f t="array" ref="E259">_xll.FDS(A259,"FF_EPS(QTR_R,0)")</f>
        <v>4.6302000000000003</v>
      </c>
      <c r="F259" cm="1">
        <f t="array" ref="F259">_xll.FDS(A259,"FE_ESTIMATE(EPS,MEAN,QTR_ROLL,-0,0,,,'')")</f>
        <v>4.63</v>
      </c>
    </row>
    <row r="260" spans="1:6" x14ac:dyDescent="0.45">
      <c r="A260" t="s">
        <v>257</v>
      </c>
      <c r="B260" t="str" cm="1">
        <f t="array" ref="B260">_xll.FDS(A260,"FG_COMPANY_NAME")</f>
        <v>Kellanova</v>
      </c>
      <c r="C260" t="s">
        <v>511</v>
      </c>
      <c r="D260" s="2" cm="1">
        <f t="array" ref="D260">_xll.FDS(A260,"JULIAN(FF_EPS(QTR_R,0).dates)")</f>
        <v>45930</v>
      </c>
      <c r="E260" cm="1">
        <f t="array" ref="E260">_xll.FDS(A260,"FF_EPS(QTR_R,0)")</f>
        <v>0.88290000000000002</v>
      </c>
      <c r="F260" cm="1">
        <f t="array" ref="F260">_xll.FDS(A260,"FE_ESTIMATE(EPS,MEAN,QTR_ROLL,-0,0,,,'')")</f>
        <v>0.93</v>
      </c>
    </row>
    <row r="261" spans="1:6" x14ac:dyDescent="0.45">
      <c r="A261" t="s">
        <v>258</v>
      </c>
      <c r="B261" t="str" cm="1">
        <f t="array" ref="B261">_xll.FDS(A261,"FG_COMPANY_NAME")</f>
        <v>Keurig Dr Pepper Inc.</v>
      </c>
      <c r="C261" t="s">
        <v>511</v>
      </c>
      <c r="D261" s="2" cm="1">
        <f t="array" ref="D261">_xll.FDS(A261,"JULIAN(FF_EPS(QTR_R,0).dates)")</f>
        <v>46022</v>
      </c>
      <c r="E261" cm="1">
        <f t="array" ref="E261">_xll.FDS(A261,"FF_EPS(QTR_R,0)")</f>
        <v>0.25900000000000001</v>
      </c>
      <c r="F261" cm="1">
        <f t="array" ref="F261">_xll.FDS(A261,"FE_ESTIMATE(EPS,MEAN,QTR_ROLL,-0,0,,,'')")</f>
        <v>0.6</v>
      </c>
    </row>
    <row r="262" spans="1:6" x14ac:dyDescent="0.45">
      <c r="A262" t="s">
        <v>259</v>
      </c>
      <c r="B262" t="str" cm="1">
        <f t="array" ref="B262">_xll.FDS(A262,"FG_COMPANY_NAME")</f>
        <v>KeyCorp</v>
      </c>
      <c r="C262" t="s">
        <v>510</v>
      </c>
      <c r="D262" s="2" cm="1">
        <f t="array" ref="D262">_xll.FDS(A262,"JULIAN(FF_EPS(QTR_R,0).dates)")</f>
        <v>46022</v>
      </c>
      <c r="E262" cm="1">
        <f t="array" ref="E262">_xll.FDS(A262,"FF_EPS(QTR_R,0)")</f>
        <v>0.4294</v>
      </c>
      <c r="F262" cm="1">
        <f t="array" ref="F262">_xll.FDS(A262,"FE_ESTIMATE(EPS,MEAN,QTR_ROLL,-0,0,,,'')")</f>
        <v>0.43</v>
      </c>
    </row>
    <row r="263" spans="1:6" x14ac:dyDescent="0.45">
      <c r="A263" t="s">
        <v>260</v>
      </c>
      <c r="B263" t="str" cm="1">
        <f t="array" ref="B263">_xll.FDS(A263,"FG_COMPANY_NAME")</f>
        <v>Keysight Technologies Inc</v>
      </c>
      <c r="C263" t="s">
        <v>508</v>
      </c>
      <c r="D263" s="2" cm="1">
        <f t="array" ref="D263">_xll.FDS(A263,"JULIAN(FF_EPS(QTR_R,0).dates)")</f>
        <v>46052</v>
      </c>
      <c r="E263" cm="1">
        <f t="array" ref="E263">_xll.FDS(A263,"FF_EPS(QTR_R,0)")</f>
        <v>1.6243000000000001</v>
      </c>
      <c r="F263" cm="1">
        <f t="array" ref="F263">_xll.FDS(A263,"FE_ESTIMATE(EPS,MEAN,QTR_ROLL,-0,0,,,'')")</f>
        <v>2.17</v>
      </c>
    </row>
    <row r="264" spans="1:6" x14ac:dyDescent="0.45">
      <c r="A264" t="s">
        <v>261</v>
      </c>
      <c r="B264" t="str" cm="1">
        <f t="array" ref="B264">_xll.FDS(A264,"FG_COMPANY_NAME")</f>
        <v>Kraft Heinz Company</v>
      </c>
      <c r="C264" t="s">
        <v>511</v>
      </c>
      <c r="D264" s="2" cm="1">
        <f t="array" ref="D264">_xll.FDS(A264,"JULIAN(FF_EPS(QTR_R,0).dates)")</f>
        <v>46022</v>
      </c>
      <c r="E264" cm="1">
        <f t="array" ref="E264">_xll.FDS(A264,"FF_EPS(QTR_R,0)")</f>
        <v>0.5484</v>
      </c>
      <c r="F264" cm="1">
        <f t="array" ref="F264">_xll.FDS(A264,"FE_ESTIMATE(EPS,MEAN,QTR_ROLL,-0,0,,,'')")</f>
        <v>0.67</v>
      </c>
    </row>
    <row r="265" spans="1:6" x14ac:dyDescent="0.45">
      <c r="A265" t="s">
        <v>262</v>
      </c>
      <c r="B265" t="str" cm="1">
        <f t="array" ref="B265">_xll.FDS(A265,"FG_COMPANY_NAME")</f>
        <v>Kimco Realty Corporation</v>
      </c>
      <c r="C265" t="s">
        <v>514</v>
      </c>
      <c r="D265" s="2" cm="1">
        <f t="array" ref="D265">_xll.FDS(A265,"JULIAN(FF_EPS(QTR_R,0).dates)")</f>
        <v>46022</v>
      </c>
      <c r="E265" cm="1">
        <f t="array" ref="E265">_xll.FDS(A265,"FF_EPS(QTR_R,0)")</f>
        <v>0.21210000000000001</v>
      </c>
      <c r="F265" cm="1">
        <f t="array" ref="F265">_xll.FDS(A265,"FE_ESTIMATE(EPS,MEAN,QTR_ROLL,-0,0,,,'')")</f>
        <v>0.21</v>
      </c>
    </row>
    <row r="266" spans="1:6" x14ac:dyDescent="0.45">
      <c r="A266" t="s">
        <v>263</v>
      </c>
      <c r="B266" t="str" cm="1">
        <f t="array" ref="B266">_xll.FDS(A266,"FG_COMPANY_NAME")</f>
        <v>KLA Corporation</v>
      </c>
      <c r="C266" t="s">
        <v>508</v>
      </c>
      <c r="D266" s="2" cm="1">
        <f t="array" ref="D266">_xll.FDS(A266,"JULIAN(FF_EPS(QTR_R,0).dates)")</f>
        <v>46022</v>
      </c>
      <c r="E266" cm="1">
        <f t="array" ref="E266">_xll.FDS(A266,"FF_EPS(QTR_R,0)")</f>
        <v>8.7271000000000001</v>
      </c>
      <c r="F266" cm="1">
        <f t="array" ref="F266">_xll.FDS(A266,"FE_ESTIMATE(EPS,MEAN,QTR_ROLL,-0,0,,,'')")</f>
        <v>8.85</v>
      </c>
    </row>
    <row r="267" spans="1:6" x14ac:dyDescent="0.45">
      <c r="A267" t="s">
        <v>264</v>
      </c>
      <c r="B267" t="str" cm="1">
        <f t="array" ref="B267">_xll.FDS(A267,"FG_COMPANY_NAME")</f>
        <v>Kimberly-Clark Corporation</v>
      </c>
      <c r="C267" t="s">
        <v>511</v>
      </c>
      <c r="D267" s="2" cm="1">
        <f t="array" ref="D267">_xll.FDS(A267,"JULIAN(FF_EPS(QTR_R,0).dates)")</f>
        <v>46022</v>
      </c>
      <c r="E267" cm="1">
        <f t="array" ref="E267">_xll.FDS(A267,"FF_EPS(QTR_R,0)")</f>
        <v>1.4981</v>
      </c>
      <c r="F267" cm="1">
        <f t="array" ref="F267">_xll.FDS(A267,"FE_ESTIMATE(EPS,MEAN,QTR_ROLL,-0,0,,,'')")</f>
        <v>1.86</v>
      </c>
    </row>
    <row r="268" spans="1:6" x14ac:dyDescent="0.45">
      <c r="A268" t="s">
        <v>265</v>
      </c>
      <c r="B268" t="str" cm="1">
        <f t="array" ref="B268">_xll.FDS(A268,"FG_COMPANY_NAME")</f>
        <v>Kinder Morgan Inc Class P</v>
      </c>
      <c r="C268" t="s">
        <v>515</v>
      </c>
      <c r="D268" s="2" cm="1">
        <f t="array" ref="D268">_xll.FDS(A268,"JULIAN(FF_EPS(QTR_R,0).dates)")</f>
        <v>46022</v>
      </c>
      <c r="E268" cm="1">
        <f t="array" ref="E268">_xll.FDS(A268,"FF_EPS(QTR_R,0)")</f>
        <v>0.44540000000000002</v>
      </c>
      <c r="F268" cm="1">
        <f t="array" ref="F268">_xll.FDS(A268,"FE_ESTIMATE(EPS,MEAN,QTR_ROLL,-0,0,,,'')")</f>
        <v>0.39</v>
      </c>
    </row>
    <row r="269" spans="1:6" x14ac:dyDescent="0.45">
      <c r="A269" t="s">
        <v>266</v>
      </c>
      <c r="B269" t="str" cm="1">
        <f t="array" ref="B269">_xll.FDS(A269,"FG_COMPANY_NAME")</f>
        <v>CarMax, Inc.</v>
      </c>
      <c r="C269" t="s">
        <v>509</v>
      </c>
      <c r="D269" s="2" cm="1">
        <f t="array" ref="D269">_xll.FDS(A269,"JULIAN(FF_EPS(QTR_R,0).dates)")</f>
        <v>45989</v>
      </c>
      <c r="E269" cm="1">
        <f t="array" ref="E269">_xll.FDS(A269,"FF_EPS(QTR_R,0)")</f>
        <v>0.42649999999999999</v>
      </c>
      <c r="F269" cm="1">
        <f t="array" ref="F269">_xll.FDS(A269,"FE_ESTIMATE(EPS,MEAN,QTR_ROLL,-0,0,,,'')")</f>
        <v>0.43</v>
      </c>
    </row>
    <row r="270" spans="1:6" x14ac:dyDescent="0.45">
      <c r="A270" t="s">
        <v>267</v>
      </c>
      <c r="B270" t="str" cm="1">
        <f t="array" ref="B270">_xll.FDS(A270,"FG_COMPANY_NAME")</f>
        <v>Coca-Cola Company</v>
      </c>
      <c r="C270" t="s">
        <v>511</v>
      </c>
      <c r="D270" s="2" cm="1">
        <f t="array" ref="D270">_xll.FDS(A270,"JULIAN(FF_EPS(QTR_R,0).dates)")</f>
        <v>46022</v>
      </c>
      <c r="E270" cm="1">
        <f t="array" ref="E270">_xll.FDS(A270,"FF_EPS(QTR_R,0)")</f>
        <v>0.52659999999999996</v>
      </c>
      <c r="F270" cm="1">
        <f t="array" ref="F270">_xll.FDS(A270,"FE_ESTIMATE(EPS,MEAN,QTR_ROLL,-0,0,,,'')")</f>
        <v>0.57999999999999996</v>
      </c>
    </row>
    <row r="271" spans="1:6" x14ac:dyDescent="0.45">
      <c r="A271" t="s">
        <v>268</v>
      </c>
      <c r="B271" t="str" cm="1">
        <f t="array" ref="B271">_xll.FDS(A271,"FG_COMPANY_NAME")</f>
        <v>Kroger Co.</v>
      </c>
      <c r="C271" t="s">
        <v>511</v>
      </c>
      <c r="D271" s="2" cm="1">
        <f t="array" ref="D271">_xll.FDS(A271,"JULIAN(FF_EPS(QTR_R,0).dates)")</f>
        <v>46052</v>
      </c>
      <c r="E271" cm="1">
        <f t="array" ref="E271">_xll.FDS(A271,"FF_EPS(QTR_R,0)")</f>
        <v>1.35</v>
      </c>
      <c r="F271" cm="1">
        <f t="array" ref="F271">_xll.FDS(A271,"FE_ESTIMATE(EPS,MEAN,QTR_ROLL,-0,0,,,'')")</f>
        <v>1.28</v>
      </c>
    </row>
    <row r="272" spans="1:6" x14ac:dyDescent="0.45">
      <c r="A272" t="s">
        <v>269</v>
      </c>
      <c r="B272" t="str" cm="1">
        <f t="array" ref="B272">_xll.FDS(A272,"FG_COMPANY_NAME")</f>
        <v>Kenvue, Inc.</v>
      </c>
      <c r="C272" t="s">
        <v>511</v>
      </c>
      <c r="D272" s="2" cm="1">
        <f t="array" ref="D272">_xll.FDS(A272,"JULIAN(FF_EPS(QTR_R,0).dates)")</f>
        <v>46022</v>
      </c>
      <c r="E272" cm="1">
        <f t="array" ref="E272">_xll.FDS(A272,"FF_EPS(QTR_R,0)")</f>
        <v>0.1719</v>
      </c>
      <c r="F272" cm="1">
        <f t="array" ref="F272">_xll.FDS(A272,"FE_ESTIMATE(EPS,MEAN,QTR_ROLL,-0,0,,,'')")</f>
        <v>0.27</v>
      </c>
    </row>
    <row r="273" spans="1:6" x14ac:dyDescent="0.45">
      <c r="A273" t="s">
        <v>270</v>
      </c>
      <c r="B273" t="str" cm="1">
        <f t="array" ref="B273">_xll.FDS(A273,"FG_COMPANY_NAME")</f>
        <v>Loews Corporation</v>
      </c>
      <c r="C273" t="s">
        <v>510</v>
      </c>
      <c r="D273" s="2" cm="1">
        <f t="array" ref="D273">_xll.FDS(A273,"JULIAN(FF_EPS(QTR_R,0).dates)")</f>
        <v>46022</v>
      </c>
      <c r="E273" cm="1">
        <f t="array" ref="E273">_xll.FDS(A273,"FF_EPS(QTR_R,0)")</f>
        <v>1.9439</v>
      </c>
      <c r="F273" cm="1">
        <f t="array" ref="F273">_xll.FDS(A273,"FE_ESTIMATE(EPS,MEAN,QTR_ROLL,-0,0,,,'')")</f>
        <v>2.1382590000000001</v>
      </c>
    </row>
    <row r="274" spans="1:6" x14ac:dyDescent="0.45">
      <c r="A274" t="s">
        <v>271</v>
      </c>
      <c r="B274" t="str" cm="1">
        <f t="array" ref="B274">_xll.FDS(A274,"FG_COMPANY_NAME")</f>
        <v>Leidos Holdings, Inc.</v>
      </c>
      <c r="C274" t="s">
        <v>512</v>
      </c>
      <c r="D274" s="2" cm="1">
        <f t="array" ref="D274">_xll.FDS(A274,"JULIAN(FF_EPS(QTR_R,0).dates)")</f>
        <v>46022</v>
      </c>
      <c r="E274" cm="1">
        <f t="array" ref="E274">_xll.FDS(A274,"FF_EPS(QTR_R,0)")</f>
        <v>2.5348999999999999</v>
      </c>
      <c r="F274" cm="1">
        <f t="array" ref="F274">_xll.FDS(A274,"FE_ESTIMATE(EPS,MEAN,QTR_ROLL,-0,0,,,'')")</f>
        <v>2.76</v>
      </c>
    </row>
    <row r="275" spans="1:6" x14ac:dyDescent="0.45">
      <c r="A275" t="s">
        <v>272</v>
      </c>
      <c r="B275" t="str" cm="1">
        <f t="array" ref="B275">_xll.FDS(A275,"FG_COMPANY_NAME")</f>
        <v>Lennar Corporation Class A</v>
      </c>
      <c r="C275" t="s">
        <v>509</v>
      </c>
      <c r="D275" s="2" cm="1">
        <f t="array" ref="D275">_xll.FDS(A275,"JULIAN(FF_EPS(QTR_R,0).dates)")</f>
        <v>46080</v>
      </c>
      <c r="E275" cm="1">
        <f t="array" ref="E275">_xll.FDS(A275,"FF_EPS(QTR_R,0)")</f>
        <v>0.93840000000000001</v>
      </c>
      <c r="F275" cm="1">
        <f t="array" ref="F275">_xll.FDS(A275,"FE_ESTIMATE(EPS,MEAN,QTR_ROLL,-0,0,,,'')")</f>
        <v>0.93</v>
      </c>
    </row>
    <row r="276" spans="1:6" x14ac:dyDescent="0.45">
      <c r="A276" t="s">
        <v>273</v>
      </c>
      <c r="B276" t="str" cm="1">
        <f t="array" ref="B276">_xll.FDS(A276,"FG_COMPANY_NAME")</f>
        <v>Labcorp Holdings Inc.</v>
      </c>
      <c r="C276" t="s">
        <v>507</v>
      </c>
      <c r="D276" s="2" cm="1">
        <f t="array" ref="D276">_xll.FDS(A276,"JULIAN(FF_EPS(QTR_R,0).dates)")</f>
        <v>46022</v>
      </c>
      <c r="E276" cm="1">
        <f t="array" ref="E276">_xll.FDS(A276,"FF_EPS(QTR_R,0)")</f>
        <v>1.9796</v>
      </c>
      <c r="F276" cm="1">
        <f t="array" ref="F276">_xll.FDS(A276,"FE_ESTIMATE(EPS,MEAN,QTR_ROLL,-0,0,,,'')")</f>
        <v>4.07</v>
      </c>
    </row>
    <row r="277" spans="1:6" x14ac:dyDescent="0.45">
      <c r="A277" t="s">
        <v>274</v>
      </c>
      <c r="B277" t="str" cm="1">
        <f t="array" ref="B277">_xll.FDS(A277,"FG_COMPANY_NAME")</f>
        <v>L3Harris Technologies Inc</v>
      </c>
      <c r="C277" t="s">
        <v>512</v>
      </c>
      <c r="D277" s="2" cm="1">
        <f t="array" ref="D277">_xll.FDS(A277,"JULIAN(FF_EPS(QTR_R,0).dates)")</f>
        <v>46022</v>
      </c>
      <c r="E277" cm="1">
        <f t="array" ref="E277">_xll.FDS(A277,"FF_EPS(QTR_R,0)")</f>
        <v>1.5940000000000001</v>
      </c>
      <c r="F277" cm="1">
        <f t="array" ref="F277">_xll.FDS(A277,"FE_ESTIMATE(EPS,MEAN,QTR_ROLL,-0,0,,,'')")</f>
        <v>2.86</v>
      </c>
    </row>
    <row r="278" spans="1:6" x14ac:dyDescent="0.45">
      <c r="A278" t="s">
        <v>275</v>
      </c>
      <c r="B278" t="str" cm="1">
        <f t="array" ref="B278">_xll.FDS(A278,"FG_COMPANY_NAME")</f>
        <v>Linde plc</v>
      </c>
      <c r="C278" t="s">
        <v>513</v>
      </c>
      <c r="D278" s="2" cm="1">
        <f t="array" ref="D278">_xll.FDS(A278,"JULIAN(FF_EPS(QTR_R,0).dates)")</f>
        <v>46022</v>
      </c>
      <c r="E278" cm="1">
        <f t="array" ref="E278">_xll.FDS(A278,"FF_EPS(QTR_R,0)")</f>
        <v>3.2643</v>
      </c>
      <c r="F278" cm="1">
        <f t="array" ref="F278">_xll.FDS(A278,"FE_ESTIMATE(EPS,MEAN,QTR_ROLL,-0,0,,,'')")</f>
        <v>4.2003589999999997</v>
      </c>
    </row>
    <row r="279" spans="1:6" x14ac:dyDescent="0.45">
      <c r="A279" t="s">
        <v>276</v>
      </c>
      <c r="B279" t="str" cm="1">
        <f t="array" ref="B279">_xll.FDS(A279,"FG_COMPANY_NAME")</f>
        <v>LKQ Corporation</v>
      </c>
      <c r="C279" t="s">
        <v>509</v>
      </c>
      <c r="D279" s="2" cm="1">
        <f t="array" ref="D279">_xll.FDS(A279,"JULIAN(FF_EPS(QTR_R,0).dates)")</f>
        <v>46022</v>
      </c>
      <c r="E279" cm="1">
        <f t="array" ref="E279">_xll.FDS(A279,"FF_EPS(QTR_R,0)")</f>
        <v>0.25779999999999997</v>
      </c>
      <c r="F279" cm="1">
        <f t="array" ref="F279">_xll.FDS(A279,"FE_ESTIMATE(EPS,MEAN,QTR_ROLL,-0,0,,,'')")</f>
        <v>0.59</v>
      </c>
    </row>
    <row r="280" spans="1:6" x14ac:dyDescent="0.45">
      <c r="A280" t="s">
        <v>277</v>
      </c>
      <c r="B280" t="str" cm="1">
        <f t="array" ref="B280">_xll.FDS(A280,"FG_COMPANY_NAME")</f>
        <v>Eli Lilly and Company</v>
      </c>
      <c r="C280" t="s">
        <v>507</v>
      </c>
      <c r="D280" s="2" cm="1">
        <f t="array" ref="D280">_xll.FDS(A280,"JULIAN(FF_EPS(QTR_R,0).dates)")</f>
        <v>46022</v>
      </c>
      <c r="E280" cm="1">
        <f t="array" ref="E280">_xll.FDS(A280,"FF_EPS(QTR_R,0)")</f>
        <v>7.0236999999999998</v>
      </c>
      <c r="F280" cm="1">
        <f t="array" ref="F280">_xll.FDS(A280,"FE_ESTIMATE(EPS,MEAN,QTR_ROLL,-0,0,,,'')")</f>
        <v>7.54</v>
      </c>
    </row>
    <row r="281" spans="1:6" x14ac:dyDescent="0.45">
      <c r="A281" t="s">
        <v>278</v>
      </c>
      <c r="B281" t="str" cm="1">
        <f t="array" ref="B281">_xll.FDS(A281,"FG_COMPANY_NAME")</f>
        <v>Lockheed Martin Corporation</v>
      </c>
      <c r="C281" t="s">
        <v>512</v>
      </c>
      <c r="D281" s="2" cm="1">
        <f t="array" ref="D281">_xll.FDS(A281,"JULIAN(FF_EPS(QTR_R,0).dates)")</f>
        <v>46022</v>
      </c>
      <c r="E281" cm="1">
        <f t="array" ref="E281">_xll.FDS(A281,"FF_EPS(QTR_R,0)")</f>
        <v>5.7956000000000003</v>
      </c>
      <c r="F281" cm="1">
        <f t="array" ref="F281">_xll.FDS(A281,"FE_ESTIMATE(EPS,MEAN,QTR_ROLL,-0,0,,,'')")</f>
        <v>5.8</v>
      </c>
    </row>
    <row r="282" spans="1:6" x14ac:dyDescent="0.45">
      <c r="A282" t="s">
        <v>279</v>
      </c>
      <c r="B282" t="str" cm="1">
        <f t="array" ref="B282">_xll.FDS(A282,"FG_COMPANY_NAME")</f>
        <v>Alliant Energy Corporation</v>
      </c>
      <c r="C282" t="s">
        <v>505</v>
      </c>
      <c r="D282" s="2" cm="1">
        <f t="array" ref="D282">_xll.FDS(A282,"JULIAN(FF_EPS(QTR_R,0).dates)")</f>
        <v>46022</v>
      </c>
      <c r="E282" cm="1">
        <f t="array" ref="E282">_xll.FDS(A282,"FF_EPS(QTR_R,0)")</f>
        <v>0.54869999999999997</v>
      </c>
      <c r="F282" cm="1">
        <f t="array" ref="F282">_xll.FDS(A282,"FE_ESTIMATE(EPS,MEAN,QTR_ROLL,-0,0,,,'')")</f>
        <v>0.6</v>
      </c>
    </row>
    <row r="283" spans="1:6" x14ac:dyDescent="0.45">
      <c r="A283" t="s">
        <v>280</v>
      </c>
      <c r="B283" t="str" cm="1">
        <f t="array" ref="B283">_xll.FDS(A283,"FG_COMPANY_NAME")</f>
        <v>Lowe's Companies, Inc.</v>
      </c>
      <c r="C283" t="s">
        <v>509</v>
      </c>
      <c r="D283" s="2" cm="1">
        <f t="array" ref="D283">_xll.FDS(A283,"JULIAN(FF_EPS(QTR_R,0).dates)")</f>
        <v>46052</v>
      </c>
      <c r="E283" cm="1">
        <f t="array" ref="E283">_xll.FDS(A283,"FF_EPS(QTR_R,0)")</f>
        <v>1.7771999999999999</v>
      </c>
      <c r="F283" cm="1">
        <f t="array" ref="F283">_xll.FDS(A283,"FE_ESTIMATE(EPS,MEAN,QTR_ROLL,-0,0,,,'')")</f>
        <v>1.98</v>
      </c>
    </row>
    <row r="284" spans="1:6" x14ac:dyDescent="0.45">
      <c r="A284" t="s">
        <v>281</v>
      </c>
      <c r="B284" t="str" cm="1">
        <f t="array" ref="B284">_xll.FDS(A284,"FG_COMPANY_NAME")</f>
        <v>Lam Research Corporation</v>
      </c>
      <c r="C284" t="s">
        <v>508</v>
      </c>
      <c r="D284" s="2" cm="1">
        <f t="array" ref="D284">_xll.FDS(A284,"JULIAN(FF_EPS(QTR_R,0).dates)")</f>
        <v>46022</v>
      </c>
      <c r="E284" cm="1">
        <f t="array" ref="E284">_xll.FDS(A284,"FF_EPS(QTR_R,0)")</f>
        <v>1.2633000000000001</v>
      </c>
      <c r="F284" cm="1">
        <f t="array" ref="F284">_xll.FDS(A284,"FE_ESTIMATE(EPS,MEAN,QTR_ROLL,-0,0,,,'')")</f>
        <v>1.27</v>
      </c>
    </row>
    <row r="285" spans="1:6" x14ac:dyDescent="0.45">
      <c r="A285" t="s">
        <v>282</v>
      </c>
      <c r="B285" t="str" cm="1">
        <f t="array" ref="B285">_xll.FDS(A285,"FG_COMPANY_NAME")</f>
        <v>lululemon athletica inc.</v>
      </c>
      <c r="C285" t="s">
        <v>509</v>
      </c>
      <c r="D285" s="2" cm="1">
        <f t="array" ref="D285">_xll.FDS(A285,"JULIAN(FF_EPS(QTR_R,0).dates)")</f>
        <v>46052</v>
      </c>
      <c r="E285" cm="1">
        <f t="array" ref="E285">_xll.FDS(A285,"FF_EPS(QTR_R,0)")</f>
        <v>5.0076000000000001</v>
      </c>
      <c r="F285" cm="1">
        <f t="array" ref="F285">_xll.FDS(A285,"FE_ESTIMATE(EPS,MEAN,QTR_ROLL,-0,0,,,'')")</f>
        <v>5.01</v>
      </c>
    </row>
    <row r="286" spans="1:6" x14ac:dyDescent="0.45">
      <c r="A286" t="s">
        <v>283</v>
      </c>
      <c r="B286" t="str" cm="1">
        <f t="array" ref="B286">_xll.FDS(A286,"FG_COMPANY_NAME")</f>
        <v>Southwest Airlines Co.</v>
      </c>
      <c r="C286" t="s">
        <v>512</v>
      </c>
      <c r="D286" s="2" cm="1">
        <f t="array" ref="D286">_xll.FDS(A286,"JULIAN(FF_EPS(QTR_R,0).dates)")</f>
        <v>46022</v>
      </c>
      <c r="E286" cm="1">
        <f t="array" ref="E286">_xll.FDS(A286,"FF_EPS(QTR_R,0)")</f>
        <v>0.62190000000000001</v>
      </c>
      <c r="F286" cm="1">
        <f t="array" ref="F286">_xll.FDS(A286,"FE_ESTIMATE(EPS,MEAN,QTR_ROLL,-0,0,,,'')")</f>
        <v>0.57999999999999996</v>
      </c>
    </row>
    <row r="287" spans="1:6" x14ac:dyDescent="0.45">
      <c r="A287" t="s">
        <v>284</v>
      </c>
      <c r="B287" t="str" cm="1">
        <f t="array" ref="B287">_xll.FDS(A287,"FG_COMPANY_NAME")</f>
        <v>Las Vegas Sands Corp.</v>
      </c>
      <c r="C287" t="s">
        <v>509</v>
      </c>
      <c r="D287" s="2" cm="1">
        <f t="array" ref="D287">_xll.FDS(A287,"JULIAN(FF_EPS(QTR_R,0).dates)")</f>
        <v>46022</v>
      </c>
      <c r="E287" cm="1">
        <f t="array" ref="E287">_xll.FDS(A287,"FF_EPS(QTR_R,0)")</f>
        <v>0.58260000000000001</v>
      </c>
      <c r="F287" cm="1">
        <f t="array" ref="F287">_xll.FDS(A287,"FE_ESTIMATE(EPS,MEAN,QTR_ROLL,-0,0,,,'')")</f>
        <v>0.85</v>
      </c>
    </row>
    <row r="288" spans="1:6" x14ac:dyDescent="0.45">
      <c r="A288" t="s">
        <v>285</v>
      </c>
      <c r="B288" t="str" cm="1">
        <f t="array" ref="B288">_xll.FDS(A288,"FG_COMPANY_NAME")</f>
        <v>Lamb Weston Holdings, Inc.</v>
      </c>
      <c r="C288" t="s">
        <v>511</v>
      </c>
      <c r="D288" s="2" cm="1">
        <f t="array" ref="D288">_xll.FDS(A288,"JULIAN(FF_EPS(QTR_R,0).dates)")</f>
        <v>45989</v>
      </c>
      <c r="E288" cm="1">
        <f t="array" ref="E288">_xll.FDS(A288,"FF_EPS(QTR_R,0)")</f>
        <v>0.44479999999999997</v>
      </c>
      <c r="F288" cm="1">
        <f t="array" ref="F288">_xll.FDS(A288,"FE_ESTIMATE(EPS,MEAN,QTR_ROLL,-0,0,,,'')")</f>
        <v>0.69</v>
      </c>
    </row>
    <row r="289" spans="1:6" x14ac:dyDescent="0.45">
      <c r="A289" t="s">
        <v>286</v>
      </c>
      <c r="B289" t="str" cm="1">
        <f t="array" ref="B289">_xll.FDS(A289,"FG_COMPANY_NAME")</f>
        <v>LyondellBasell Industries NV</v>
      </c>
      <c r="C289" t="s">
        <v>513</v>
      </c>
      <c r="D289" s="2" cm="1">
        <f t="array" ref="D289">_xll.FDS(A289,"JULIAN(FF_EPS(QTR_R,0).dates)")</f>
        <v>46022</v>
      </c>
      <c r="E289" cm="1">
        <f t="array" ref="E289">_xll.FDS(A289,"FF_EPS(QTR_R,0)")</f>
        <v>-0.44409999999999999</v>
      </c>
      <c r="F289" cm="1">
        <f t="array" ref="F289">_xll.FDS(A289,"FE_ESTIMATE(EPS,MEAN,QTR_ROLL,-0,0,,,'')")</f>
        <v>-0.26</v>
      </c>
    </row>
    <row r="290" spans="1:6" x14ac:dyDescent="0.45">
      <c r="A290" t="s">
        <v>287</v>
      </c>
      <c r="B290" t="str" cm="1">
        <f t="array" ref="B290">_xll.FDS(A290,"FG_COMPANY_NAME")</f>
        <v>Live Nation Entertainment, Inc.</v>
      </c>
      <c r="C290" t="s">
        <v>516</v>
      </c>
      <c r="D290" s="2" cm="1">
        <f t="array" ref="D290">_xll.FDS(A290,"JULIAN(FF_EPS(QTR_R,0).dates)")</f>
        <v>46022</v>
      </c>
      <c r="E290" cm="1">
        <f t="array" ref="E290">_xll.FDS(A290,"FF_EPS(QTR_R,0)")</f>
        <v>-1.0498000000000001</v>
      </c>
      <c r="F290" cm="1">
        <f t="array" ref="F290">_xll.FDS(A290,"FE_ESTIMATE(EPS,MEAN,QTR_ROLL,-0,0,,,'')")</f>
        <v>-1.06</v>
      </c>
    </row>
    <row r="291" spans="1:6" x14ac:dyDescent="0.45">
      <c r="A291" t="s">
        <v>288</v>
      </c>
      <c r="B291" t="str" cm="1">
        <f t="array" ref="B291">_xll.FDS(A291,"FG_COMPANY_NAME")</f>
        <v>Mastercard Incorporated Class A</v>
      </c>
      <c r="C291" t="s">
        <v>510</v>
      </c>
      <c r="D291" s="2" cm="1">
        <f t="array" ref="D291">_xll.FDS(A291,"JULIAN(FF_EPS(QTR_R,0).dates)")</f>
        <v>46022</v>
      </c>
      <c r="E291" cm="1">
        <f t="array" ref="E291">_xll.FDS(A291,"FF_EPS(QTR_R,0)")</f>
        <v>4.5212000000000003</v>
      </c>
      <c r="F291" cm="1">
        <f t="array" ref="F291">_xll.FDS(A291,"FE_ESTIMATE(EPS,MEAN,QTR_ROLL,-0,0,,,'')")</f>
        <v>4.76</v>
      </c>
    </row>
    <row r="292" spans="1:6" x14ac:dyDescent="0.45">
      <c r="A292" t="s">
        <v>289</v>
      </c>
      <c r="B292" t="str" cm="1">
        <f t="array" ref="B292">_xll.FDS(A292,"FG_COMPANY_NAME")</f>
        <v>Mid-America Apartment Communities, Inc.</v>
      </c>
      <c r="C292" t="s">
        <v>514</v>
      </c>
      <c r="D292" s="2" cm="1">
        <f t="array" ref="D292">_xll.FDS(A292,"JULIAN(FF_EPS(QTR_R,0).dates)")</f>
        <v>46022</v>
      </c>
      <c r="E292" cm="1">
        <f t="array" ref="E292">_xll.FDS(A292,"FF_EPS(QTR_R,0)")</f>
        <v>0.48349999999999999</v>
      </c>
      <c r="F292" cm="1">
        <f t="array" ref="F292">_xll.FDS(A292,"FE_ESTIMATE(EPS,MEAN,QTR_ROLL,-0,0,,,'')")</f>
        <v>0.48</v>
      </c>
    </row>
    <row r="293" spans="1:6" x14ac:dyDescent="0.45">
      <c r="A293" t="s">
        <v>290</v>
      </c>
      <c r="B293" t="str" cm="1">
        <f t="array" ref="B293">_xll.FDS(A293,"FG_COMPANY_NAME")</f>
        <v>Marriott International, Inc. Class A</v>
      </c>
      <c r="C293" t="s">
        <v>509</v>
      </c>
      <c r="D293" s="2" cm="1">
        <f t="array" ref="D293">_xll.FDS(A293,"JULIAN(FF_EPS(QTR_R,0).dates)")</f>
        <v>46022</v>
      </c>
      <c r="E293" cm="1">
        <f t="array" ref="E293">_xll.FDS(A293,"FF_EPS(QTR_R,0)")</f>
        <v>1.6517999999999999</v>
      </c>
      <c r="F293" cm="1">
        <f t="array" ref="F293">_xll.FDS(A293,"FE_ESTIMATE(EPS,MEAN,QTR_ROLL,-0,0,,,'')")</f>
        <v>2.58</v>
      </c>
    </row>
    <row r="294" spans="1:6" x14ac:dyDescent="0.45">
      <c r="A294" t="s">
        <v>291</v>
      </c>
      <c r="B294" t="str" cm="1">
        <f t="array" ref="B294">_xll.FDS(A294,"FG_COMPANY_NAME")</f>
        <v>Masco Corporation</v>
      </c>
      <c r="C294" t="s">
        <v>512</v>
      </c>
      <c r="D294" s="2" cm="1">
        <f t="array" ref="D294">_xll.FDS(A294,"JULIAN(FF_EPS(QTR_R,0).dates)")</f>
        <v>46022</v>
      </c>
      <c r="E294" cm="1">
        <f t="array" ref="E294">_xll.FDS(A294,"FF_EPS(QTR_R,0)")</f>
        <v>0.79710000000000003</v>
      </c>
      <c r="F294" cm="1">
        <f t="array" ref="F294">_xll.FDS(A294,"FE_ESTIMATE(EPS,MEAN,QTR_ROLL,-0,0,,,'')")</f>
        <v>0.82</v>
      </c>
    </row>
    <row r="295" spans="1:6" x14ac:dyDescent="0.45">
      <c r="A295" t="s">
        <v>292</v>
      </c>
      <c r="B295" t="str" cm="1">
        <f t="array" ref="B295">_xll.FDS(A295,"FG_COMPANY_NAME")</f>
        <v>McDonald's Corporation</v>
      </c>
      <c r="C295" t="s">
        <v>509</v>
      </c>
      <c r="D295" s="2" cm="1">
        <f t="array" ref="D295">_xll.FDS(A295,"JULIAN(FF_EPS(QTR_R,0).dates)")</f>
        <v>46022</v>
      </c>
      <c r="E295" cm="1">
        <f t="array" ref="E295">_xll.FDS(A295,"FF_EPS(QTR_R,0)")</f>
        <v>3.03</v>
      </c>
      <c r="F295" cm="1">
        <f t="array" ref="F295">_xll.FDS(A295,"FE_ESTIMATE(EPS,MEAN,QTR_ROLL,-0,0,,,'')")</f>
        <v>3.12</v>
      </c>
    </row>
    <row r="296" spans="1:6" x14ac:dyDescent="0.45">
      <c r="A296" t="s">
        <v>293</v>
      </c>
      <c r="B296" t="str" cm="1">
        <f t="array" ref="B296">_xll.FDS(A296,"FG_COMPANY_NAME")</f>
        <v>Microchip Technology Incorporated</v>
      </c>
      <c r="C296" t="s">
        <v>508</v>
      </c>
      <c r="D296" s="2" cm="1">
        <f t="array" ref="D296">_xll.FDS(A296,"JULIAN(FF_EPS(QTR_R,0).dates)")</f>
        <v>46022</v>
      </c>
      <c r="E296" cm="1">
        <f t="array" ref="E296">_xll.FDS(A296,"FF_EPS(QTR_R,0)")</f>
        <v>6.4000000000000001E-2</v>
      </c>
      <c r="F296" cm="1">
        <f t="array" ref="F296">_xll.FDS(A296,"FE_ESTIMATE(EPS,MEAN,QTR_ROLL,-0,0,,,'')")</f>
        <v>0.44</v>
      </c>
    </row>
    <row r="297" spans="1:6" x14ac:dyDescent="0.45">
      <c r="A297" t="s">
        <v>294</v>
      </c>
      <c r="B297" t="str" cm="1">
        <f t="array" ref="B297">_xll.FDS(A297,"FG_COMPANY_NAME")</f>
        <v>McKesson Corporation</v>
      </c>
      <c r="C297" t="s">
        <v>507</v>
      </c>
      <c r="D297" s="2" cm="1">
        <f t="array" ref="D297">_xll.FDS(A297,"JULIAN(FF_EPS(QTR_R,0).dates)")</f>
        <v>46022</v>
      </c>
      <c r="E297" cm="1">
        <f t="array" ref="E297">_xll.FDS(A297,"FF_EPS(QTR_R,0)")</f>
        <v>9.5876999999999999</v>
      </c>
      <c r="F297" cm="1">
        <f t="array" ref="F297">_xll.FDS(A297,"FE_ESTIMATE(EPS,MEAN,QTR_ROLL,-0,0,,,'')")</f>
        <v>9.34</v>
      </c>
    </row>
    <row r="298" spans="1:6" x14ac:dyDescent="0.45">
      <c r="A298" t="s">
        <v>295</v>
      </c>
      <c r="B298" t="str" cm="1">
        <f t="array" ref="B298">_xll.FDS(A298,"FG_COMPANY_NAME")</f>
        <v>Moody's Corporation</v>
      </c>
      <c r="C298" t="s">
        <v>510</v>
      </c>
      <c r="D298" s="2" cm="1">
        <f t="array" ref="D298">_xll.FDS(A298,"JULIAN(FF_EPS(QTR_R,0).dates)")</f>
        <v>46022</v>
      </c>
      <c r="E298" cm="1">
        <f t="array" ref="E298">_xll.FDS(A298,"FF_EPS(QTR_R,0)")</f>
        <v>3.4135</v>
      </c>
      <c r="F298" cm="1">
        <f t="array" ref="F298">_xll.FDS(A298,"FE_ESTIMATE(EPS,MEAN,QTR_ROLL,-0,0,,,'')")</f>
        <v>3.64</v>
      </c>
    </row>
    <row r="299" spans="1:6" x14ac:dyDescent="0.45">
      <c r="A299" t="s">
        <v>296</v>
      </c>
      <c r="B299" t="str" cm="1">
        <f t="array" ref="B299">_xll.FDS(A299,"FG_COMPANY_NAME")</f>
        <v>Mondelez International, Inc. Class A</v>
      </c>
      <c r="C299" t="s">
        <v>511</v>
      </c>
      <c r="D299" s="2" cm="1">
        <f t="array" ref="D299">_xll.FDS(A299,"JULIAN(FF_EPS(QTR_R,0).dates)")</f>
        <v>46022</v>
      </c>
      <c r="E299" cm="1">
        <f t="array" ref="E299">_xll.FDS(A299,"FF_EPS(QTR_R,0)")</f>
        <v>0.51470000000000005</v>
      </c>
      <c r="F299" cm="1">
        <f t="array" ref="F299">_xll.FDS(A299,"FE_ESTIMATE(EPS,MEAN,QTR_ROLL,-0,0,,,'')")</f>
        <v>0.72</v>
      </c>
    </row>
    <row r="300" spans="1:6" x14ac:dyDescent="0.45">
      <c r="A300" t="s">
        <v>297</v>
      </c>
      <c r="B300" t="str" cm="1">
        <f t="array" ref="B300">_xll.FDS(A300,"FG_COMPANY_NAME")</f>
        <v>Medtronic Plc</v>
      </c>
      <c r="C300" t="s">
        <v>507</v>
      </c>
      <c r="D300" s="2" cm="1">
        <f t="array" ref="D300">_xll.FDS(A300,"JULIAN(FF_EPS(QTR_R,0).dates)")</f>
        <v>46052</v>
      </c>
      <c r="E300" cm="1">
        <f t="array" ref="E300">_xll.FDS(A300,"FF_EPS(QTR_R,0)")</f>
        <v>0.88639999999999997</v>
      </c>
      <c r="F300" cm="1">
        <f t="array" ref="F300">_xll.FDS(A300,"FE_ESTIMATE(EPS,MEAN,QTR_ROLL,-0,0,,,'')")</f>
        <v>1.36</v>
      </c>
    </row>
    <row r="301" spans="1:6" x14ac:dyDescent="0.45">
      <c r="A301" t="s">
        <v>298</v>
      </c>
      <c r="B301" t="str" cm="1">
        <f t="array" ref="B301">_xll.FDS(A301,"FG_COMPANY_NAME")</f>
        <v>MetLife, Inc.</v>
      </c>
      <c r="C301" t="s">
        <v>510</v>
      </c>
      <c r="D301" s="2" cm="1">
        <f t="array" ref="D301">_xll.FDS(A301,"JULIAN(FF_EPS(QTR_R,0).dates)")</f>
        <v>46022</v>
      </c>
      <c r="E301" cm="1">
        <f t="array" ref="E301">_xll.FDS(A301,"FF_EPS(QTR_R,0)")</f>
        <v>1.1749000000000001</v>
      </c>
      <c r="F301" cm="1">
        <f t="array" ref="F301">_xll.FDS(A301,"FE_ESTIMATE(EPS,MEAN,QTR_ROLL,-0,0,,,'')")</f>
        <v>2.4900000000000002</v>
      </c>
    </row>
    <row r="302" spans="1:6" x14ac:dyDescent="0.45">
      <c r="A302" t="s">
        <v>299</v>
      </c>
      <c r="B302" t="str" cm="1">
        <f t="array" ref="B302">_xll.FDS(A302,"FG_COMPANY_NAME")</f>
        <v>Meta Platforms Inc Class A</v>
      </c>
      <c r="C302" t="s">
        <v>516</v>
      </c>
      <c r="D302" s="2" cm="1">
        <f t="array" ref="D302">_xll.FDS(A302,"JULIAN(FF_EPS(QTR_R,0).dates)")</f>
        <v>46022</v>
      </c>
      <c r="E302" cm="1">
        <f t="array" ref="E302">_xll.FDS(A302,"FF_EPS(QTR_R,0)")</f>
        <v>8.8764000000000003</v>
      </c>
      <c r="F302" cm="1">
        <f t="array" ref="F302">_xll.FDS(A302,"FE_ESTIMATE(EPS,MEAN,QTR_ROLL,-0,0,,,'')")</f>
        <v>8.8800000000000008</v>
      </c>
    </row>
    <row r="303" spans="1:6" x14ac:dyDescent="0.45">
      <c r="A303" t="s">
        <v>300</v>
      </c>
      <c r="B303" t="str" cm="1">
        <f t="array" ref="B303">_xll.FDS(A303,"FG_COMPANY_NAME")</f>
        <v>MGM Resorts International</v>
      </c>
      <c r="C303" t="s">
        <v>509</v>
      </c>
      <c r="D303" s="2" cm="1">
        <f t="array" ref="D303">_xll.FDS(A303,"JULIAN(FF_EPS(QTR_R,0).dates)")</f>
        <v>46022</v>
      </c>
      <c r="E303" cm="1">
        <f t="array" ref="E303">_xll.FDS(A303,"FF_EPS(QTR_R,0)")</f>
        <v>1.1120000000000001</v>
      </c>
      <c r="F303" cm="1">
        <f t="array" ref="F303">_xll.FDS(A303,"FE_ESTIMATE(EPS,MEAN,QTR_ROLL,-0,0,,,'')")</f>
        <v>1.6</v>
      </c>
    </row>
    <row r="304" spans="1:6" x14ac:dyDescent="0.45">
      <c r="A304" t="s">
        <v>301</v>
      </c>
      <c r="B304" t="str" cm="1">
        <f t="array" ref="B304">_xll.FDS(A304,"FG_COMPANY_NAME")</f>
        <v>Mohawk Industries, Inc.</v>
      </c>
      <c r="C304" t="s">
        <v>509</v>
      </c>
      <c r="D304" s="2" cm="1">
        <f t="array" ref="D304">_xll.FDS(A304,"JULIAN(FF_EPS(QTR_R,0).dates)")</f>
        <v>46022</v>
      </c>
      <c r="E304" cm="1">
        <f t="array" ref="E304">_xll.FDS(A304,"FF_EPS(QTR_R,0)")</f>
        <v>0.67849999999999999</v>
      </c>
      <c r="F304" cm="1">
        <f t="array" ref="F304">_xll.FDS(A304,"FE_ESTIMATE(EPS,MEAN,QTR_ROLL,-0,0,,,'')")</f>
        <v>2</v>
      </c>
    </row>
    <row r="305" spans="1:6" x14ac:dyDescent="0.45">
      <c r="A305" t="s">
        <v>302</v>
      </c>
      <c r="B305" t="str" cm="1">
        <f t="array" ref="B305">_xll.FDS(A305,"FG_COMPANY_NAME")</f>
        <v>McCormick &amp; Company, Incorporated</v>
      </c>
      <c r="C305" t="s">
        <v>511</v>
      </c>
      <c r="D305" s="2" cm="1">
        <f t="array" ref="D305">_xll.FDS(A305,"JULIAN(FF_EPS(QTR_R,0).dates)")</f>
        <v>45989</v>
      </c>
      <c r="E305" cm="1">
        <f t="array" ref="E305">_xll.FDS(A305,"FF_EPS(QTR_R,0)")</f>
        <v>0.84140000000000004</v>
      </c>
      <c r="F305" cm="1">
        <f t="array" ref="F305">_xll.FDS(A305,"FE_ESTIMATE(EPS,MEAN,QTR_ROLL,-0,0,,,'')")</f>
        <v>0.86</v>
      </c>
    </row>
    <row r="306" spans="1:6" x14ac:dyDescent="0.45">
      <c r="A306" t="s">
        <v>303</v>
      </c>
      <c r="B306" t="str" cm="1">
        <f t="array" ref="B306">_xll.FDS(A306,"FG_COMPANY_NAME")</f>
        <v>MarketAxess Holdings Inc.</v>
      </c>
      <c r="C306" t="s">
        <v>510</v>
      </c>
      <c r="D306" s="2" cm="1">
        <f t="array" ref="D306">_xll.FDS(A306,"JULIAN(FF_EPS(QTR_R,0).dates)")</f>
        <v>46022</v>
      </c>
      <c r="E306" cm="1">
        <f t="array" ref="E306">_xll.FDS(A306,"FF_EPS(QTR_R,0)")</f>
        <v>2.5144000000000002</v>
      </c>
      <c r="F306" cm="1">
        <f t="array" ref="F306">_xll.FDS(A306,"FE_ESTIMATE(EPS,MEAN,QTR_ROLL,-0,0,,,'')")</f>
        <v>1.68</v>
      </c>
    </row>
    <row r="307" spans="1:6" x14ac:dyDescent="0.45">
      <c r="A307" t="s">
        <v>304</v>
      </c>
      <c r="B307" t="str" cm="1">
        <f t="array" ref="B307">_xll.FDS(A307,"FG_COMPANY_NAME")</f>
        <v>Martin Marietta Materials, Inc.</v>
      </c>
      <c r="C307" t="s">
        <v>513</v>
      </c>
      <c r="D307" s="2" cm="1">
        <f t="array" ref="D307">_xll.FDS(A307,"JULIAN(FF_EPS(QTR_R,0).dates)")</f>
        <v>46022</v>
      </c>
      <c r="E307" cm="1">
        <f t="array" ref="E307">_xll.FDS(A307,"FF_EPS(QTR_R,0)")</f>
        <v>4.6116000000000001</v>
      </c>
      <c r="F307" cm="1">
        <f t="array" ref="F307">_xll.FDS(A307,"FE_ESTIMATE(EPS,MEAN,QTR_ROLL,-0,0,,,'')")</f>
        <v>3.85</v>
      </c>
    </row>
    <row r="308" spans="1:6" x14ac:dyDescent="0.45">
      <c r="A308" t="s">
        <v>305</v>
      </c>
      <c r="B308" t="str" cm="1">
        <f t="array" ref="B308">_xll.FDS(A308,"FG_COMPANY_NAME")</f>
        <v>Marsh &amp; McLennan Companies, Inc.</v>
      </c>
      <c r="C308" t="s">
        <v>510</v>
      </c>
      <c r="D308" s="2" cm="1">
        <f t="array" ref="D308">_xll.FDS(A308,"JULIAN(FF_EPS(QTR_R,0).dates)")</f>
        <v>46022</v>
      </c>
      <c r="E308" cm="1">
        <f t="array" ref="E308">_xll.FDS(A308,"FF_EPS(QTR_R,0)")</f>
        <v>1.6755</v>
      </c>
      <c r="F308" cm="1">
        <f t="array" ref="F308">_xll.FDS(A308,"FE_ESTIMATE(EPS,MEAN,QTR_ROLL,-0,0,,,'')")</f>
        <v>2.12</v>
      </c>
    </row>
    <row r="309" spans="1:6" x14ac:dyDescent="0.45">
      <c r="A309" t="s">
        <v>306</v>
      </c>
      <c r="B309" t="str" cm="1">
        <f t="array" ref="B309">_xll.FDS(A309,"FG_COMPANY_NAME")</f>
        <v>3M Company</v>
      </c>
      <c r="C309" t="s">
        <v>512</v>
      </c>
      <c r="D309" s="2" cm="1">
        <f t="array" ref="D309">_xll.FDS(A309,"JULIAN(FF_EPS(QTR_R,0).dates)")</f>
        <v>46022</v>
      </c>
      <c r="E309" cm="1">
        <f t="array" ref="E309">_xll.FDS(A309,"FF_EPS(QTR_R,0)")</f>
        <v>1.0705</v>
      </c>
      <c r="F309" cm="1">
        <f t="array" ref="F309">_xll.FDS(A309,"FE_ESTIMATE(EPS,MEAN,QTR_ROLL,-0,0,,,'')")</f>
        <v>1.83</v>
      </c>
    </row>
    <row r="310" spans="1:6" x14ac:dyDescent="0.45">
      <c r="A310" t="s">
        <v>307</v>
      </c>
      <c r="B310" t="str" cm="1">
        <f t="array" ref="B310">_xll.FDS(A310,"FG_COMPANY_NAME")</f>
        <v>Monster Beverage Corporation</v>
      </c>
      <c r="C310" t="s">
        <v>511</v>
      </c>
      <c r="D310" s="2" cm="1">
        <f t="array" ref="D310">_xll.FDS(A310,"JULIAN(FF_EPS(QTR_R,0).dates)")</f>
        <v>46022</v>
      </c>
      <c r="E310" cm="1">
        <f t="array" ref="E310">_xll.FDS(A310,"FF_EPS(QTR_R,0)")</f>
        <v>0.45519999999999999</v>
      </c>
      <c r="F310" cm="1">
        <f t="array" ref="F310">_xll.FDS(A310,"FE_ESTIMATE(EPS,MEAN,QTR_ROLL,-0,0,,,'')")</f>
        <v>0.51</v>
      </c>
    </row>
    <row r="311" spans="1:6" x14ac:dyDescent="0.45">
      <c r="A311" t="s">
        <v>308</v>
      </c>
      <c r="B311" t="str" cm="1">
        <f t="array" ref="B311">_xll.FDS(A311,"FG_COMPANY_NAME")</f>
        <v>Altria Group, Inc.</v>
      </c>
      <c r="C311" t="s">
        <v>511</v>
      </c>
      <c r="D311" s="2" cm="1">
        <f t="array" ref="D311">_xll.FDS(A311,"JULIAN(FF_EPS(QTR_R,0).dates)")</f>
        <v>46022</v>
      </c>
      <c r="E311" cm="1">
        <f t="array" ref="E311">_xll.FDS(A311,"FF_EPS(QTR_R,0)")</f>
        <v>0.6643</v>
      </c>
      <c r="F311" cm="1">
        <f t="array" ref="F311">_xll.FDS(A311,"FE_ESTIMATE(EPS,MEAN,QTR_ROLL,-0,0,,,'')")</f>
        <v>1.3</v>
      </c>
    </row>
    <row r="312" spans="1:6" x14ac:dyDescent="0.45">
      <c r="A312" t="s">
        <v>309</v>
      </c>
      <c r="B312" t="str" cm="1">
        <f t="array" ref="B312">_xll.FDS(A312,"FG_COMPANY_NAME")</f>
        <v>Molina Healthcare, Inc.</v>
      </c>
      <c r="C312" t="s">
        <v>507</v>
      </c>
      <c r="D312" s="2" cm="1">
        <f t="array" ref="D312">_xll.FDS(A312,"JULIAN(FF_EPS(QTR_R,0).dates)")</f>
        <v>46022</v>
      </c>
      <c r="E312" cm="1">
        <f t="array" ref="E312">_xll.FDS(A312,"FF_EPS(QTR_R,0)")</f>
        <v>-3.1372</v>
      </c>
      <c r="F312" cm="1">
        <f t="array" ref="F312">_xll.FDS(A312,"FE_ESTIMATE(EPS,MEAN,QTR_ROLL,-0,0,,,'')")</f>
        <v>-2.75</v>
      </c>
    </row>
    <row r="313" spans="1:6" x14ac:dyDescent="0.45">
      <c r="A313" t="s">
        <v>310</v>
      </c>
      <c r="B313" t="str" cm="1">
        <f t="array" ref="B313">_xll.FDS(A313,"FG_COMPANY_NAME")</f>
        <v>Mosaic Company</v>
      </c>
      <c r="C313" t="s">
        <v>513</v>
      </c>
      <c r="D313" s="2" cm="1">
        <f t="array" ref="D313">_xll.FDS(A313,"JULIAN(FF_EPS(QTR_R,0).dates)")</f>
        <v>46022</v>
      </c>
      <c r="E313" cm="1">
        <f t="array" ref="E313">_xll.FDS(A313,"FF_EPS(QTR_R,0)")</f>
        <v>-1.6367</v>
      </c>
      <c r="F313" cm="1">
        <f t="array" ref="F313">_xll.FDS(A313,"FE_ESTIMATE(EPS,MEAN,QTR_ROLL,-0,0,,,'')")</f>
        <v>0.22</v>
      </c>
    </row>
    <row r="314" spans="1:6" x14ac:dyDescent="0.45">
      <c r="A314" t="s">
        <v>311</v>
      </c>
      <c r="B314" t="str" cm="1">
        <f t="array" ref="B314">_xll.FDS(A314,"FG_COMPANY_NAME")</f>
        <v>Marathon Petroleum Corporation</v>
      </c>
      <c r="C314" t="s">
        <v>515</v>
      </c>
      <c r="D314" s="2" cm="1">
        <f t="array" ref="D314">_xll.FDS(A314,"JULIAN(FF_EPS(QTR_R,0).dates)")</f>
        <v>46022</v>
      </c>
      <c r="E314" cm="1">
        <f t="array" ref="E314">_xll.FDS(A314,"FF_EPS(QTR_R,0)")</f>
        <v>5.1132999999999997</v>
      </c>
      <c r="F314" cm="1">
        <f t="array" ref="F314">_xll.FDS(A314,"FE_ESTIMATE(EPS,MEAN,QTR_ROLL,-0,0,,,'')")</f>
        <v>4.07</v>
      </c>
    </row>
    <row r="315" spans="1:6" x14ac:dyDescent="0.45">
      <c r="A315" t="s">
        <v>312</v>
      </c>
      <c r="B315" t="str" cm="1">
        <f t="array" ref="B315">_xll.FDS(A315,"FG_COMPANY_NAME")</f>
        <v>Monolithic Power Systems, Inc.</v>
      </c>
      <c r="C315" t="s">
        <v>508</v>
      </c>
      <c r="D315" s="2" cm="1">
        <f t="array" ref="D315">_xll.FDS(A315,"JULIAN(FF_EPS(QTR_R,0).dates)")</f>
        <v>46022</v>
      </c>
      <c r="E315" cm="1">
        <f t="array" ref="E315">_xll.FDS(A315,"FF_EPS(QTR_R,0)")</f>
        <v>3.4603000000000002</v>
      </c>
      <c r="F315" cm="1">
        <f t="array" ref="F315">_xll.FDS(A315,"FE_ESTIMATE(EPS,MEAN,QTR_ROLL,-0,0,,,'')")</f>
        <v>4.79</v>
      </c>
    </row>
    <row r="316" spans="1:6" x14ac:dyDescent="0.45">
      <c r="A316" t="s">
        <v>313</v>
      </c>
      <c r="B316" t="str" cm="1">
        <f t="array" ref="B316">_xll.FDS(A316,"FG_COMPANY_NAME")</f>
        <v>Merck &amp; Co., Inc.</v>
      </c>
      <c r="C316" t="s">
        <v>507</v>
      </c>
      <c r="D316" s="2" cm="1">
        <f t="array" ref="D316">_xll.FDS(A316,"JULIAN(FF_EPS(QTR_R,0).dates)")</f>
        <v>46022</v>
      </c>
      <c r="E316" cm="1">
        <f t="array" ref="E316">_xll.FDS(A316,"FF_EPS(QTR_R,0)")</f>
        <v>1.1909000000000001</v>
      </c>
      <c r="F316" cm="1">
        <f t="array" ref="F316">_xll.FDS(A316,"FE_ESTIMATE(EPS,MEAN,QTR_ROLL,-0,0,,,'')")</f>
        <v>2.04</v>
      </c>
    </row>
    <row r="317" spans="1:6" x14ac:dyDescent="0.45">
      <c r="A317" t="s">
        <v>314</v>
      </c>
      <c r="B317" t="str" cm="1">
        <f t="array" ref="B317">_xll.FDS(A317,"FG_COMPANY_NAME")</f>
        <v>Moderna, Inc.</v>
      </c>
      <c r="C317" t="s">
        <v>507</v>
      </c>
      <c r="D317" s="2" cm="1">
        <f t="array" ref="D317">_xll.FDS(A317,"JULIAN(FF_EPS(QTR_R,0).dates)")</f>
        <v>46022</v>
      </c>
      <c r="E317" cm="1">
        <f t="array" ref="E317">_xll.FDS(A317,"FF_EPS(QTR_R,0)")</f>
        <v>-2.1071</v>
      </c>
      <c r="F317" cm="1">
        <f t="array" ref="F317">_xll.FDS(A317,"FE_ESTIMATE(EPS,MEAN,QTR_ROLL,-0,0,,,'')")</f>
        <v>-2.11</v>
      </c>
    </row>
    <row r="318" spans="1:6" x14ac:dyDescent="0.45">
      <c r="A318" t="s">
        <v>315</v>
      </c>
      <c r="B318" t="str" cm="1">
        <f t="array" ref="B318">_xll.FDS(A318,"FG_COMPANY_NAME")</f>
        <v>Marathon Oil Corporation</v>
      </c>
      <c r="C318" t="s">
        <v>515</v>
      </c>
      <c r="D318" s="2" cm="1">
        <f t="array" ref="D318">_xll.FDS(A318,"JULIAN(FF_EPS(QTR_R,0).dates)")</f>
        <v>45565</v>
      </c>
      <c r="E318" cm="1">
        <f t="array" ref="E318">_xll.FDS(A318,"FF_EPS(QTR_R,0)")</f>
        <v>0.50890000000000002</v>
      </c>
      <c r="F318" t="e" cm="1">
        <f t="array" ref="F318">_xll.FDS(A318,"FE_ESTIMATE(EPS,MEAN,QTR_ROLL,-0,0,,,'')")</f>
        <v>#N/A</v>
      </c>
    </row>
    <row r="319" spans="1:6" x14ac:dyDescent="0.45">
      <c r="A319" t="s">
        <v>316</v>
      </c>
      <c r="B319" t="str" cm="1">
        <f t="array" ref="B319">_xll.FDS(A319,"FG_COMPANY_NAME")</f>
        <v>Morgan Stanley</v>
      </c>
      <c r="C319" t="s">
        <v>510</v>
      </c>
      <c r="D319" s="2" cm="1">
        <f t="array" ref="D319">_xll.FDS(A319,"JULIAN(FF_EPS(QTR_R,0).dates)")</f>
        <v>46022</v>
      </c>
      <c r="E319" cm="1">
        <f t="array" ref="E319">_xll.FDS(A319,"FF_EPS(QTR_R,0)")</f>
        <v>2.6797</v>
      </c>
      <c r="F319" cm="1">
        <f t="array" ref="F319">_xll.FDS(A319,"FE_ESTIMATE(EPS,MEAN,QTR_ROLL,-0,0,,,'')")</f>
        <v>2.68</v>
      </c>
    </row>
    <row r="320" spans="1:6" x14ac:dyDescent="0.45">
      <c r="A320" t="s">
        <v>317</v>
      </c>
      <c r="B320" t="str" cm="1">
        <f t="array" ref="B320">_xll.FDS(A320,"FG_COMPANY_NAME")</f>
        <v>MSCI Inc. Class A</v>
      </c>
      <c r="C320" t="s">
        <v>510</v>
      </c>
      <c r="D320" s="2" cm="1">
        <f t="array" ref="D320">_xll.FDS(A320,"JULIAN(FF_EPS(QTR_R,0).dates)")</f>
        <v>46022</v>
      </c>
      <c r="E320" cm="1">
        <f t="array" ref="E320">_xll.FDS(A320,"FF_EPS(QTR_R,0)")</f>
        <v>3.8109999999999999</v>
      </c>
      <c r="F320" cm="1">
        <f t="array" ref="F320">_xll.FDS(A320,"FE_ESTIMATE(EPS,MEAN,QTR_ROLL,-0,0,,,'')")</f>
        <v>4.66</v>
      </c>
    </row>
    <row r="321" spans="1:6" x14ac:dyDescent="0.45">
      <c r="A321" t="s">
        <v>318</v>
      </c>
      <c r="B321" t="str" cm="1">
        <f t="array" ref="B321">_xll.FDS(A321,"FG_COMPANY_NAME")</f>
        <v>Microsoft Corporation</v>
      </c>
      <c r="C321" t="s">
        <v>508</v>
      </c>
      <c r="D321" s="2" cm="1">
        <f t="array" ref="D321">_xll.FDS(A321,"JULIAN(FF_EPS(QTR_R,0).dates)")</f>
        <v>46022</v>
      </c>
      <c r="E321" cm="1">
        <f t="array" ref="E321">_xll.FDS(A321,"FF_EPS(QTR_R,0)")</f>
        <v>5.1551999999999998</v>
      </c>
      <c r="F321" cm="1">
        <f t="array" ref="F321">_xll.FDS(A321,"FE_ESTIMATE(EPS,MEAN,QTR_ROLL,-0,0,,,'')")</f>
        <v>4.1399999999999997</v>
      </c>
    </row>
    <row r="322" spans="1:6" x14ac:dyDescent="0.45">
      <c r="A322" t="s">
        <v>319</v>
      </c>
      <c r="B322" t="str" cm="1">
        <f t="array" ref="B322">_xll.FDS(A322,"FG_COMPANY_NAME")</f>
        <v>Motorola Solutions, Inc.</v>
      </c>
      <c r="C322" t="s">
        <v>508</v>
      </c>
      <c r="D322" s="2" cm="1">
        <f t="array" ref="D322">_xll.FDS(A322,"JULIAN(FF_EPS(QTR_R,0).dates)")</f>
        <v>46022</v>
      </c>
      <c r="E322" cm="1">
        <f t="array" ref="E322">_xll.FDS(A322,"FF_EPS(QTR_R,0)")</f>
        <v>3.8607999999999998</v>
      </c>
      <c r="F322" cm="1">
        <f t="array" ref="F322">_xll.FDS(A322,"FE_ESTIMATE(EPS,MEAN,QTR_ROLL,-0,0,,,'')")</f>
        <v>4.59</v>
      </c>
    </row>
    <row r="323" spans="1:6" x14ac:dyDescent="0.45">
      <c r="A323" t="s">
        <v>320</v>
      </c>
      <c r="B323" t="str" cm="1">
        <f t="array" ref="B323">_xll.FDS(A323,"FG_COMPANY_NAME")</f>
        <v>M&amp;T Bank Corporation</v>
      </c>
      <c r="C323" t="s">
        <v>510</v>
      </c>
      <c r="D323" s="2" cm="1">
        <f t="array" ref="D323">_xll.FDS(A323,"JULIAN(FF_EPS(QTR_R,0).dates)")</f>
        <v>46022</v>
      </c>
      <c r="E323" cm="1">
        <f t="array" ref="E323">_xll.FDS(A323,"FF_EPS(QTR_R,0)")</f>
        <v>4.6711</v>
      </c>
      <c r="F323" cm="1">
        <f t="array" ref="F323">_xll.FDS(A323,"FE_ESTIMATE(EPS,MEAN,QTR_ROLL,-0,0,,,'')")</f>
        <v>4.67</v>
      </c>
    </row>
    <row r="324" spans="1:6" x14ac:dyDescent="0.45">
      <c r="A324" t="s">
        <v>321</v>
      </c>
      <c r="B324" t="str" cm="1">
        <f t="array" ref="B324">_xll.FDS(A324,"FG_COMPANY_NAME")</f>
        <v>Match Group, Inc.</v>
      </c>
      <c r="C324" t="s">
        <v>516</v>
      </c>
      <c r="D324" s="2" cm="1">
        <f t="array" ref="D324">_xll.FDS(A324,"JULIAN(FF_EPS(QTR_R,0).dates)")</f>
        <v>46022</v>
      </c>
      <c r="E324" cm="1">
        <f t="array" ref="E324">_xll.FDS(A324,"FF_EPS(QTR_R,0)")</f>
        <v>0.83309999999999995</v>
      </c>
      <c r="F324" cm="1">
        <f t="array" ref="F324">_xll.FDS(A324,"FE_ESTIMATE(EPS,MEAN,QTR_ROLL,-0,0,,,'')")</f>
        <v>0.83</v>
      </c>
    </row>
    <row r="325" spans="1:6" x14ac:dyDescent="0.45">
      <c r="A325" t="s">
        <v>322</v>
      </c>
      <c r="B325" t="str" cm="1">
        <f t="array" ref="B325">_xll.FDS(A325,"FG_COMPANY_NAME")</f>
        <v>Mettler-Toledo International Inc.</v>
      </c>
      <c r="C325" t="s">
        <v>507</v>
      </c>
      <c r="D325" s="2" cm="1">
        <f t="array" ref="D325">_xll.FDS(A325,"JULIAN(FF_EPS(QTR_R,0).dates)")</f>
        <v>46022</v>
      </c>
      <c r="E325" cm="1">
        <f t="array" ref="E325">_xll.FDS(A325,"FF_EPS(QTR_R,0)")</f>
        <v>13.977600000000001</v>
      </c>
      <c r="F325" cm="1">
        <f t="array" ref="F325">_xll.FDS(A325,"FE_ESTIMATE(EPS,MEAN,QTR_ROLL,-0,0,,,'')")</f>
        <v>13.36</v>
      </c>
    </row>
    <row r="326" spans="1:6" x14ac:dyDescent="0.45">
      <c r="A326" t="s">
        <v>323</v>
      </c>
      <c r="B326" t="str" cm="1">
        <f t="array" ref="B326">_xll.FDS(A326,"FG_COMPANY_NAME")</f>
        <v>Micron Technology, Inc.</v>
      </c>
      <c r="C326" t="s">
        <v>508</v>
      </c>
      <c r="D326" s="2" cm="1">
        <f t="array" ref="D326">_xll.FDS(A326,"JULIAN(FF_EPS(QTR_R,0).dates)")</f>
        <v>46080</v>
      </c>
      <c r="E326" cm="1">
        <f t="array" ref="E326">_xll.FDS(A326,"FF_EPS(QTR_R,0)")</f>
        <v>12.0709</v>
      </c>
      <c r="F326" cm="1">
        <f t="array" ref="F326">_xll.FDS(A326,"FE_ESTIMATE(EPS,MEAN,QTR_ROLL,-0,0,,,'')")</f>
        <v>12.2</v>
      </c>
    </row>
    <row r="327" spans="1:6" x14ac:dyDescent="0.45">
      <c r="A327" t="s">
        <v>324</v>
      </c>
      <c r="B327" t="str" cm="1">
        <f t="array" ref="B327">_xll.FDS(A327,"FG_COMPANY_NAME")</f>
        <v>Norwegian Cruise Line Holdings Ltd.</v>
      </c>
      <c r="C327" t="s">
        <v>509</v>
      </c>
      <c r="D327" s="2" cm="1">
        <f t="array" ref="D327">_xll.FDS(A327,"JULIAN(FF_EPS(QTR_R,0).dates)")</f>
        <v>46022</v>
      </c>
      <c r="E327" cm="1">
        <f t="array" ref="E327">_xll.FDS(A327,"FF_EPS(QTR_R,0)")</f>
        <v>3.1E-2</v>
      </c>
      <c r="F327" cm="1">
        <f t="array" ref="F327">_xll.FDS(A327,"FE_ESTIMATE(EPS,MEAN,QTR_ROLL,-0,0,,,'')")</f>
        <v>0.28000000000000003</v>
      </c>
    </row>
    <row r="328" spans="1:6" x14ac:dyDescent="0.45">
      <c r="A328" t="s">
        <v>325</v>
      </c>
      <c r="B328" t="str" cm="1">
        <f t="array" ref="B328">_xll.FDS(A328,"FG_COMPANY_NAME")</f>
        <v>Nasdaq, Inc.</v>
      </c>
      <c r="C328" t="s">
        <v>510</v>
      </c>
      <c r="D328" s="2" cm="1">
        <f t="array" ref="D328">_xll.FDS(A328,"JULIAN(FF_EPS(QTR_R,0).dates)")</f>
        <v>46022</v>
      </c>
      <c r="E328" cm="1">
        <f t="array" ref="E328">_xll.FDS(A328,"FF_EPS(QTR_R,0)")</f>
        <v>0.90029999999999999</v>
      </c>
      <c r="F328" cm="1">
        <f t="array" ref="F328">_xll.FDS(A328,"FE_ESTIMATE(EPS,MEAN,QTR_ROLL,-0,0,,,'')")</f>
        <v>0.96</v>
      </c>
    </row>
    <row r="329" spans="1:6" x14ac:dyDescent="0.45">
      <c r="A329" t="s">
        <v>326</v>
      </c>
      <c r="B329" t="str" cm="1">
        <f t="array" ref="B329">_xll.FDS(A329,"FG_COMPANY_NAME")</f>
        <v>Nordson Corporation</v>
      </c>
      <c r="C329" t="s">
        <v>512</v>
      </c>
      <c r="D329" s="2" cm="1">
        <f t="array" ref="D329">_xll.FDS(A329,"JULIAN(FF_EPS(QTR_R,0).dates)")</f>
        <v>46052</v>
      </c>
      <c r="E329" cm="1">
        <f t="array" ref="E329">_xll.FDS(A329,"FF_EPS(QTR_R,0)")</f>
        <v>2.3763999999999998</v>
      </c>
      <c r="F329" cm="1">
        <f t="array" ref="F329">_xll.FDS(A329,"FE_ESTIMATE(EPS,MEAN,QTR_ROLL,-0,0,,,'')")</f>
        <v>2.37</v>
      </c>
    </row>
    <row r="330" spans="1:6" x14ac:dyDescent="0.45">
      <c r="A330" t="s">
        <v>327</v>
      </c>
      <c r="B330" t="str" cm="1">
        <f t="array" ref="B330">_xll.FDS(A330,"FG_COMPANY_NAME")</f>
        <v>NextEra Energy, Inc.</v>
      </c>
      <c r="C330" t="s">
        <v>505</v>
      </c>
      <c r="D330" s="2" cm="1">
        <f t="array" ref="D330">_xll.FDS(A330,"JULIAN(FF_EPS(QTR_R,0).dates)")</f>
        <v>46022</v>
      </c>
      <c r="E330" cm="1">
        <f t="array" ref="E330">_xll.FDS(A330,"FF_EPS(QTR_R,0)")</f>
        <v>0.73480000000000001</v>
      </c>
      <c r="F330" cm="1">
        <f t="array" ref="F330">_xll.FDS(A330,"FE_ESTIMATE(EPS,MEAN,QTR_ROLL,-0,0,,,'')")</f>
        <v>0.54</v>
      </c>
    </row>
    <row r="331" spans="1:6" x14ac:dyDescent="0.45">
      <c r="A331" t="s">
        <v>328</v>
      </c>
      <c r="B331" t="str" cm="1">
        <f t="array" ref="B331">_xll.FDS(A331,"FG_COMPANY_NAME")</f>
        <v>Newmont Corporation</v>
      </c>
      <c r="C331" t="s">
        <v>513</v>
      </c>
      <c r="D331" s="2" cm="1">
        <f t="array" ref="D331">_xll.FDS(A331,"JULIAN(FF_EPS(QTR_R,0).dates)")</f>
        <v>46022</v>
      </c>
      <c r="E331" cm="1">
        <f t="array" ref="E331">_xll.FDS(A331,"FF_EPS(QTR_R,0)")</f>
        <v>1.1892</v>
      </c>
      <c r="F331" cm="1">
        <f t="array" ref="F331">_xll.FDS(A331,"FE_ESTIMATE(EPS,MEAN,QTR_ROLL,-0,0,,,'')")</f>
        <v>2.52</v>
      </c>
    </row>
    <row r="332" spans="1:6" x14ac:dyDescent="0.45">
      <c r="A332" t="s">
        <v>329</v>
      </c>
      <c r="B332" t="str" cm="1">
        <f t="array" ref="B332">_xll.FDS(A332,"FG_COMPANY_NAME")</f>
        <v>Netflix, Inc.</v>
      </c>
      <c r="C332" t="s">
        <v>516</v>
      </c>
      <c r="D332" s="2" cm="1">
        <f t="array" ref="D332">_xll.FDS(A332,"JULIAN(FF_EPS(QTR_R,0).dates)")</f>
        <v>46022</v>
      </c>
      <c r="E332" cm="1">
        <f t="array" ref="E332">_xll.FDS(A332,"FF_EPS(QTR_R,0)")</f>
        <v>0.56020000000000003</v>
      </c>
      <c r="F332" cm="1">
        <f t="array" ref="F332">_xll.FDS(A332,"FE_ESTIMATE(EPS,MEAN,QTR_ROLL,-0,0,,,'')")</f>
        <v>0.56000000000000005</v>
      </c>
    </row>
    <row r="333" spans="1:6" x14ac:dyDescent="0.45">
      <c r="A333" t="s">
        <v>330</v>
      </c>
      <c r="B333" t="str" cm="1">
        <f t="array" ref="B333">_xll.FDS(A333,"FG_COMPANY_NAME")</f>
        <v>NiSource Inc</v>
      </c>
      <c r="C333" t="s">
        <v>505</v>
      </c>
      <c r="D333" s="2" cm="1">
        <f t="array" ref="D333">_xll.FDS(A333,"JULIAN(FF_EPS(QTR_R,0).dates)")</f>
        <v>46022</v>
      </c>
      <c r="E333" cm="1">
        <f t="array" ref="E333">_xll.FDS(A333,"FF_EPS(QTR_R,0)")</f>
        <v>0.53490000000000004</v>
      </c>
      <c r="F333" cm="1">
        <f t="array" ref="F333">_xll.FDS(A333,"FE_ESTIMATE(EPS,MEAN,QTR_ROLL,-0,0,,,'')")</f>
        <v>0.51</v>
      </c>
    </row>
    <row r="334" spans="1:6" x14ac:dyDescent="0.45">
      <c r="A334" t="s">
        <v>331</v>
      </c>
      <c r="B334" t="str" cm="1">
        <f t="array" ref="B334">_xll.FDS(A334,"FG_COMPANY_NAME")</f>
        <v>NIKE, Inc. Class B</v>
      </c>
      <c r="C334" t="s">
        <v>509</v>
      </c>
      <c r="D334" s="2" cm="1">
        <f t="array" ref="D334">_xll.FDS(A334,"JULIAN(FF_EPS(QTR_R,0).dates)")</f>
        <v>45989</v>
      </c>
      <c r="E334" cm="1">
        <f t="array" ref="E334">_xll.FDS(A334,"FF_EPS(QTR_R,0)")</f>
        <v>0.53480000000000005</v>
      </c>
      <c r="F334" cm="1">
        <f t="array" ref="F334">_xll.FDS(A334,"FE_ESTIMATE(EPS,MEAN,QTR_ROLL,-0,0,,,'')")</f>
        <v>0.53</v>
      </c>
    </row>
    <row r="335" spans="1:6" x14ac:dyDescent="0.45">
      <c r="A335" t="s">
        <v>332</v>
      </c>
      <c r="B335" t="str" cm="1">
        <f t="array" ref="B335">_xll.FDS(A335,"FG_COMPANY_NAME")</f>
        <v>Northrop Grumman Corp.</v>
      </c>
      <c r="C335" t="s">
        <v>512</v>
      </c>
      <c r="D335" s="2" cm="1">
        <f t="array" ref="D335">_xll.FDS(A335,"JULIAN(FF_EPS(QTR_R,0).dates)")</f>
        <v>46022</v>
      </c>
      <c r="E335" cm="1">
        <f t="array" ref="E335">_xll.FDS(A335,"FF_EPS(QTR_R,0)")</f>
        <v>10.0495</v>
      </c>
      <c r="F335" cm="1">
        <f t="array" ref="F335">_xll.FDS(A335,"FE_ESTIMATE(EPS,MEAN,QTR_ROLL,-0,0,,,'')")</f>
        <v>7.23</v>
      </c>
    </row>
    <row r="336" spans="1:6" x14ac:dyDescent="0.45">
      <c r="A336" t="s">
        <v>333</v>
      </c>
      <c r="B336" t="str" cm="1">
        <f t="array" ref="B336">_xll.FDS(A336,"FG_COMPANY_NAME")</f>
        <v>ServiceNow, Inc.</v>
      </c>
      <c r="C336" t="s">
        <v>508</v>
      </c>
      <c r="D336" s="2" cm="1">
        <f t="array" ref="D336">_xll.FDS(A336,"JULIAN(FF_EPS(QTR_R,0).dates)")</f>
        <v>46022</v>
      </c>
      <c r="E336" cm="1">
        <f t="array" ref="E336">_xll.FDS(A336,"FF_EPS(QTR_R,0)")</f>
        <v>0.38300000000000001</v>
      </c>
      <c r="F336" cm="1">
        <f t="array" ref="F336">_xll.FDS(A336,"FE_ESTIMATE(EPS,MEAN,QTR_ROLL,-0,0,,,'')")</f>
        <v>0.92</v>
      </c>
    </row>
    <row r="337" spans="1:6" x14ac:dyDescent="0.45">
      <c r="A337" t="s">
        <v>334</v>
      </c>
      <c r="B337" t="str" cm="1">
        <f t="array" ref="B337">_xll.FDS(A337,"FG_COMPANY_NAME")</f>
        <v>NRG Energy, Inc.</v>
      </c>
      <c r="C337" t="s">
        <v>505</v>
      </c>
      <c r="D337" s="2" cm="1">
        <f t="array" ref="D337">_xll.FDS(A337,"JULIAN(FF_EPS(QTR_R,0).dates)")</f>
        <v>46022</v>
      </c>
      <c r="E337" cm="1">
        <f t="array" ref="E337">_xll.FDS(A337,"FF_EPS(QTR_R,0)")</f>
        <v>0.2626</v>
      </c>
      <c r="F337" cm="1">
        <f t="array" ref="F337">_xll.FDS(A337,"FE_ESTIMATE(EPS,MEAN,QTR_ROLL,-0,0,,,'')")</f>
        <v>1.03</v>
      </c>
    </row>
    <row r="338" spans="1:6" x14ac:dyDescent="0.45">
      <c r="A338" t="s">
        <v>335</v>
      </c>
      <c r="B338" t="str" cm="1">
        <f t="array" ref="B338">_xll.FDS(A338,"FG_COMPANY_NAME")</f>
        <v>Norfolk Southern Corporation</v>
      </c>
      <c r="C338" t="s">
        <v>512</v>
      </c>
      <c r="D338" s="2" cm="1">
        <f t="array" ref="D338">_xll.FDS(A338,"JULIAN(FF_EPS(QTR_R,0).dates)")</f>
        <v>46022</v>
      </c>
      <c r="E338" cm="1">
        <f t="array" ref="E338">_xll.FDS(A338,"FF_EPS(QTR_R,0)")</f>
        <v>2.8652000000000002</v>
      </c>
      <c r="F338" cm="1">
        <f t="array" ref="F338">_xll.FDS(A338,"FE_ESTIMATE(EPS,MEAN,QTR_ROLL,-0,0,,,'')")</f>
        <v>3.22</v>
      </c>
    </row>
    <row r="339" spans="1:6" x14ac:dyDescent="0.45">
      <c r="A339" t="s">
        <v>336</v>
      </c>
      <c r="B339" t="str" cm="1">
        <f t="array" ref="B339">_xll.FDS(A339,"FG_COMPANY_NAME")</f>
        <v>NetApp, Inc.</v>
      </c>
      <c r="C339" t="s">
        <v>508</v>
      </c>
      <c r="D339" s="2" cm="1">
        <f t="array" ref="D339">_xll.FDS(A339,"JULIAN(FF_EPS(QTR_R,0).dates)")</f>
        <v>46052</v>
      </c>
      <c r="E339" cm="1">
        <f t="array" ref="E339">_xll.FDS(A339,"FF_EPS(QTR_R,0)")</f>
        <v>1.67</v>
      </c>
      <c r="F339" cm="1">
        <f t="array" ref="F339">_xll.FDS(A339,"FE_ESTIMATE(EPS,MEAN,QTR_ROLL,-0,0,,,'')")</f>
        <v>2.12</v>
      </c>
    </row>
    <row r="340" spans="1:6" x14ac:dyDescent="0.45">
      <c r="A340" t="s">
        <v>337</v>
      </c>
      <c r="B340" t="str" cm="1">
        <f t="array" ref="B340">_xll.FDS(A340,"FG_COMPANY_NAME")</f>
        <v>Northern Trust Corporation</v>
      </c>
      <c r="C340" t="s">
        <v>510</v>
      </c>
      <c r="D340" s="2" cm="1">
        <f t="array" ref="D340">_xll.FDS(A340,"JULIAN(FF_EPS(QTR_R,0).dates)")</f>
        <v>46022</v>
      </c>
      <c r="E340" cm="1">
        <f t="array" ref="E340">_xll.FDS(A340,"FF_EPS(QTR_R,0)")</f>
        <v>2.4234</v>
      </c>
      <c r="F340" cm="1">
        <f t="array" ref="F340">_xll.FDS(A340,"FE_ESTIMATE(EPS,MEAN,QTR_ROLL,-0,0,,,'')")</f>
        <v>2.6365135</v>
      </c>
    </row>
    <row r="341" spans="1:6" x14ac:dyDescent="0.45">
      <c r="A341" t="s">
        <v>338</v>
      </c>
      <c r="B341" t="str" cm="1">
        <f t="array" ref="B341">_xll.FDS(A341,"FG_COMPANY_NAME")</f>
        <v>Nucor Corporation</v>
      </c>
      <c r="C341" t="s">
        <v>513</v>
      </c>
      <c r="D341" s="2" cm="1">
        <f t="array" ref="D341">_xll.FDS(A341,"JULIAN(FF_EPS(QTR_R,0).dates)")</f>
        <v>46022</v>
      </c>
      <c r="E341" cm="1">
        <f t="array" ref="E341">_xll.FDS(A341,"FF_EPS(QTR_R,0)")</f>
        <v>1.6375999999999999</v>
      </c>
      <c r="F341" cm="1">
        <f t="array" ref="F341">_xll.FDS(A341,"FE_ESTIMATE(EPS,MEAN,QTR_ROLL,-0,0,,,'')")</f>
        <v>1.73</v>
      </c>
    </row>
    <row r="342" spans="1:6" x14ac:dyDescent="0.45">
      <c r="A342" t="s">
        <v>339</v>
      </c>
      <c r="B342" t="str" cm="1">
        <f t="array" ref="B342">_xll.FDS(A342,"FG_COMPANY_NAME")</f>
        <v>NVIDIA Corporation</v>
      </c>
      <c r="C342" t="s">
        <v>508</v>
      </c>
      <c r="D342" s="2" cm="1">
        <f t="array" ref="D342">_xll.FDS(A342,"JULIAN(FF_EPS(QTR_R,0).dates)")</f>
        <v>46052</v>
      </c>
      <c r="E342" cm="1">
        <f t="array" ref="E342">_xll.FDS(A342,"FF_EPS(QTR_R,0)")</f>
        <v>1.7584</v>
      </c>
      <c r="F342" cm="1">
        <f t="array" ref="F342">_xll.FDS(A342,"FE_ESTIMATE(EPS,MEAN,QTR_ROLL,-0,0,,,'')")</f>
        <v>1.62</v>
      </c>
    </row>
    <row r="343" spans="1:6" x14ac:dyDescent="0.45">
      <c r="A343" t="s">
        <v>340</v>
      </c>
      <c r="B343" t="str" cm="1">
        <f t="array" ref="B343">_xll.FDS(A343,"FG_COMPANY_NAME")</f>
        <v>NVR, Inc.</v>
      </c>
      <c r="C343" t="s">
        <v>509</v>
      </c>
      <c r="D343" s="2" cm="1">
        <f t="array" ref="D343">_xll.FDS(A343,"JULIAN(FF_EPS(QTR_R,0).dates)")</f>
        <v>46022</v>
      </c>
      <c r="E343" cm="1">
        <f t="array" ref="E343">_xll.FDS(A343,"FF_EPS(QTR_R,0)")</f>
        <v>121.5553</v>
      </c>
      <c r="F343" cm="1">
        <f t="array" ref="F343">_xll.FDS(A343,"FE_ESTIMATE(EPS,MEAN,QTR_ROLL,-0,0,,,'')")</f>
        <v>121.54</v>
      </c>
    </row>
    <row r="344" spans="1:6" x14ac:dyDescent="0.45">
      <c r="A344" t="s">
        <v>341</v>
      </c>
      <c r="B344" t="str" cm="1">
        <f t="array" ref="B344">_xll.FDS(A344,"FG_COMPANY_NAME")</f>
        <v>News Corporation Class B</v>
      </c>
      <c r="C344" t="s">
        <v>516</v>
      </c>
      <c r="D344" s="2" cm="1">
        <f t="array" ref="D344">_xll.FDS(A344,"JULIAN(FF_EPS(QTR_R,0).dates)")</f>
        <v>46022</v>
      </c>
      <c r="E344" cm="1">
        <f t="array" ref="E344">_xll.FDS(A344,"FF_EPS(QTR_R,0)")</f>
        <v>0.34339999999999998</v>
      </c>
      <c r="F344" cm="1">
        <f t="array" ref="F344">_xll.FDS(A344,"FE_ESTIMATE(EPS,MEAN,QTR_ROLL,-0,0,,,'')")</f>
        <v>0.4</v>
      </c>
    </row>
    <row r="345" spans="1:6" x14ac:dyDescent="0.45">
      <c r="A345" t="s">
        <v>342</v>
      </c>
      <c r="B345" t="str" cm="1">
        <f t="array" ref="B345">_xll.FDS(A345,"FG_COMPANY_NAME")</f>
        <v>News Corporation Class A</v>
      </c>
      <c r="C345" t="s">
        <v>516</v>
      </c>
      <c r="D345" s="2" cm="1">
        <f t="array" ref="D345">_xll.FDS(A345,"JULIAN(FF_EPS(QTR_R,0).dates)")</f>
        <v>46022</v>
      </c>
      <c r="E345" cm="1">
        <f t="array" ref="E345">_xll.FDS(A345,"FF_EPS(QTR_R,0)")</f>
        <v>0.34339999999999998</v>
      </c>
      <c r="F345" cm="1">
        <f t="array" ref="F345">_xll.FDS(A345,"FE_ESTIMATE(EPS,MEAN,QTR_ROLL,-0,0,,,'')")</f>
        <v>0.4</v>
      </c>
    </row>
    <row r="346" spans="1:6" x14ac:dyDescent="0.45">
      <c r="A346" t="s">
        <v>343</v>
      </c>
      <c r="B346" t="str" cm="1">
        <f t="array" ref="B346">_xll.FDS(A346,"FG_COMPANY_NAME")</f>
        <v>NXP Semiconductors NV</v>
      </c>
      <c r="C346" t="s">
        <v>508</v>
      </c>
      <c r="D346" s="2" cm="1">
        <f t="array" ref="D346">_xll.FDS(A346,"JULIAN(FF_EPS(QTR_R,0).dates)")</f>
        <v>46022</v>
      </c>
      <c r="E346" cm="1">
        <f t="array" ref="E346">_xll.FDS(A346,"FF_EPS(QTR_R,0)")</f>
        <v>1.8017000000000001</v>
      </c>
      <c r="F346" cm="1">
        <f t="array" ref="F346">_xll.FDS(A346,"FE_ESTIMATE(EPS,MEAN,QTR_ROLL,-0,0,,,'')")</f>
        <v>3.35</v>
      </c>
    </row>
    <row r="347" spans="1:6" x14ac:dyDescent="0.45">
      <c r="A347" t="s">
        <v>344</v>
      </c>
      <c r="B347" t="str" cm="1">
        <f t="array" ref="B347">_xll.FDS(A347,"FG_COMPANY_NAME")</f>
        <v>Realty Income Corporation</v>
      </c>
      <c r="C347" t="s">
        <v>514</v>
      </c>
      <c r="D347" s="2" cm="1">
        <f t="array" ref="D347">_xll.FDS(A347,"JULIAN(FF_EPS(QTR_R,0).dates)")</f>
        <v>46022</v>
      </c>
      <c r="E347" cm="1">
        <f t="array" ref="E347">_xll.FDS(A347,"FF_EPS(QTR_R,0)")</f>
        <v>0.3206</v>
      </c>
      <c r="F347" cm="1">
        <f t="array" ref="F347">_xll.FDS(A347,"FE_ESTIMATE(EPS,MEAN,QTR_ROLL,-0,0,,,'')")</f>
        <v>0.32</v>
      </c>
    </row>
    <row r="348" spans="1:6" x14ac:dyDescent="0.45">
      <c r="A348" t="s">
        <v>345</v>
      </c>
      <c r="B348" t="str" cm="1">
        <f t="array" ref="B348">_xll.FDS(A348,"FG_COMPANY_NAME")</f>
        <v>Old Dominion Freight Line, Inc.</v>
      </c>
      <c r="C348" t="s">
        <v>512</v>
      </c>
      <c r="D348" s="2" cm="1">
        <f t="array" ref="D348">_xll.FDS(A348,"JULIAN(FF_EPS(QTR_R,0).dates)")</f>
        <v>46022</v>
      </c>
      <c r="E348" cm="1">
        <f t="array" ref="E348">_xll.FDS(A348,"FF_EPS(QTR_R,0)")</f>
        <v>1.0932999999999999</v>
      </c>
      <c r="F348" cm="1">
        <f t="array" ref="F348">_xll.FDS(A348,"FE_ESTIMATE(EPS,MEAN,QTR_ROLL,-0,0,,,'')")</f>
        <v>1.0900000000000001</v>
      </c>
    </row>
    <row r="349" spans="1:6" x14ac:dyDescent="0.45">
      <c r="A349" t="s">
        <v>346</v>
      </c>
      <c r="B349" t="str" cm="1">
        <f t="array" ref="B349">_xll.FDS(A349,"FG_COMPANY_NAME")</f>
        <v>ONEOK, Inc.</v>
      </c>
      <c r="C349" t="s">
        <v>515</v>
      </c>
      <c r="D349" s="2" cm="1">
        <f t="array" ref="D349">_xll.FDS(A349,"JULIAN(FF_EPS(QTR_R,0).dates)")</f>
        <v>46022</v>
      </c>
      <c r="E349" cm="1">
        <f t="array" ref="E349">_xll.FDS(A349,"FF_EPS(QTR_R,0)")</f>
        <v>1.5478000000000001</v>
      </c>
      <c r="F349" cm="1">
        <f t="array" ref="F349">_xll.FDS(A349,"FE_ESTIMATE(EPS,MEAN,QTR_ROLL,-0,0,,,'')")</f>
        <v>1.55</v>
      </c>
    </row>
    <row r="350" spans="1:6" x14ac:dyDescent="0.45">
      <c r="A350" t="s">
        <v>347</v>
      </c>
      <c r="B350" t="str" cm="1">
        <f t="array" ref="B350">_xll.FDS(A350,"FG_COMPANY_NAME")</f>
        <v>Omnicom Group Inc</v>
      </c>
      <c r="C350" t="s">
        <v>516</v>
      </c>
      <c r="D350" s="2" cm="1">
        <f t="array" ref="D350">_xll.FDS(A350,"JULIAN(FF_EPS(QTR_R,0).dates)")</f>
        <v>46022</v>
      </c>
      <c r="E350" cm="1">
        <f t="array" ref="E350">_xll.FDS(A350,"FF_EPS(QTR_R,0)")</f>
        <v>-4.0199999999999996</v>
      </c>
      <c r="F350" cm="1">
        <f t="array" ref="F350">_xll.FDS(A350,"FE_ESTIMATE(EPS,MEAN,QTR_ROLL,-0,0,,,'')")</f>
        <v>2.59</v>
      </c>
    </row>
    <row r="351" spans="1:6" x14ac:dyDescent="0.45">
      <c r="A351" t="s">
        <v>348</v>
      </c>
      <c r="B351" t="str" cm="1">
        <f t="array" ref="B351">_xll.FDS(A351,"FG_COMPANY_NAME")</f>
        <v>ON Semiconductor Corporation</v>
      </c>
      <c r="C351" t="s">
        <v>508</v>
      </c>
      <c r="D351" s="2" cm="1">
        <f t="array" ref="D351">_xll.FDS(A351,"JULIAN(FF_EPS(QTR_R,0).dates)")</f>
        <v>46022</v>
      </c>
      <c r="E351" cm="1">
        <f t="array" ref="E351">_xll.FDS(A351,"FF_EPS(QTR_R,0)")</f>
        <v>0.45190000000000002</v>
      </c>
      <c r="F351" cm="1">
        <f t="array" ref="F351">_xll.FDS(A351,"FE_ESTIMATE(EPS,MEAN,QTR_ROLL,-0,0,,,'')")</f>
        <v>0.64</v>
      </c>
    </row>
    <row r="352" spans="1:6" x14ac:dyDescent="0.45">
      <c r="A352" t="s">
        <v>349</v>
      </c>
      <c r="B352" t="str" cm="1">
        <f t="array" ref="B352">_xll.FDS(A352,"FG_COMPANY_NAME")</f>
        <v>Oracle Corporation</v>
      </c>
      <c r="C352" t="s">
        <v>508</v>
      </c>
      <c r="D352" s="2" cm="1">
        <f t="array" ref="D352">_xll.FDS(A352,"JULIAN(FF_EPS(QTR_R,0).dates)")</f>
        <v>46080</v>
      </c>
      <c r="E352" cm="1">
        <f t="array" ref="E352">_xll.FDS(A352,"FF_EPS(QTR_R,0)")</f>
        <v>1.2703</v>
      </c>
      <c r="F352" cm="1">
        <f t="array" ref="F352">_xll.FDS(A352,"FE_ESTIMATE(EPS,MEAN,QTR_ROLL,-0,0,,,'')")</f>
        <v>1.79</v>
      </c>
    </row>
    <row r="353" spans="1:6" x14ac:dyDescent="0.45">
      <c r="A353" t="s">
        <v>350</v>
      </c>
      <c r="B353" t="str" cm="1">
        <f t="array" ref="B353">_xll.FDS(A353,"FG_COMPANY_NAME")</f>
        <v>O'Reilly Automotive, Inc.</v>
      </c>
      <c r="C353" t="s">
        <v>509</v>
      </c>
      <c r="D353" s="2" cm="1">
        <f t="array" ref="D353">_xll.FDS(A353,"JULIAN(FF_EPS(QTR_R,0).dates)")</f>
        <v>46022</v>
      </c>
      <c r="E353" cm="1">
        <f t="array" ref="E353">_xll.FDS(A353,"FF_EPS(QTR_R,0)")</f>
        <v>0.71340000000000003</v>
      </c>
      <c r="F353" cm="1">
        <f t="array" ref="F353">_xll.FDS(A353,"FE_ESTIMATE(EPS,MEAN,QTR_ROLL,-0,0,,,'')")</f>
        <v>0.71</v>
      </c>
    </row>
    <row r="354" spans="1:6" x14ac:dyDescent="0.45">
      <c r="A354" t="s">
        <v>351</v>
      </c>
      <c r="B354" t="str" cm="1">
        <f t="array" ref="B354">_xll.FDS(A354,"FG_COMPANY_NAME")</f>
        <v>Otis Worldwide Corporation</v>
      </c>
      <c r="C354" t="s">
        <v>512</v>
      </c>
      <c r="D354" s="2" cm="1">
        <f t="array" ref="D354">_xll.FDS(A354,"JULIAN(FF_EPS(QTR_R,0).dates)")</f>
        <v>46022</v>
      </c>
      <c r="E354" cm="1">
        <f t="array" ref="E354">_xll.FDS(A354,"FF_EPS(QTR_R,0)")</f>
        <v>0.9546</v>
      </c>
      <c r="F354" cm="1">
        <f t="array" ref="F354">_xll.FDS(A354,"FE_ESTIMATE(EPS,MEAN,QTR_ROLL,-0,0,,,'')")</f>
        <v>1.03</v>
      </c>
    </row>
    <row r="355" spans="1:6" x14ac:dyDescent="0.45">
      <c r="A355" t="s">
        <v>352</v>
      </c>
      <c r="B355" t="str" cm="1">
        <f t="array" ref="B355">_xll.FDS(A355,"FG_COMPANY_NAME")</f>
        <v>Occidental Petroleum Corporation</v>
      </c>
      <c r="C355" t="s">
        <v>515</v>
      </c>
      <c r="D355" s="2" cm="1">
        <f t="array" ref="D355">_xll.FDS(A355,"JULIAN(FF_EPS(QTR_R,0).dates)")</f>
        <v>46022</v>
      </c>
      <c r="E355" cm="1">
        <f t="array" ref="E355">_xll.FDS(A355,"FF_EPS(QTR_R,0)")</f>
        <v>-6.88E-2</v>
      </c>
      <c r="F355" cm="1">
        <f t="array" ref="F355">_xll.FDS(A355,"FE_ESTIMATE(EPS,MEAN,QTR_ROLL,-0,0,,,'')")</f>
        <v>0.31</v>
      </c>
    </row>
    <row r="356" spans="1:6" x14ac:dyDescent="0.45">
      <c r="A356" t="s">
        <v>353</v>
      </c>
      <c r="B356" t="str" cm="1">
        <f t="array" ref="B356">_xll.FDS(A356,"FG_COMPANY_NAME")</f>
        <v>Paramount Skydance Corporation Class B</v>
      </c>
      <c r="C356" t="s">
        <v>516</v>
      </c>
      <c r="D356" s="2" cm="1">
        <f t="array" ref="D356">_xll.FDS(A356,"JULIAN(FF_EPS(QTR_R,0).dates)")</f>
        <v>46022</v>
      </c>
      <c r="E356" cm="1">
        <f t="array" ref="E356">_xll.FDS(A356,"FF_EPS(QTR_R,0)")</f>
        <v>-0.51719999999999999</v>
      </c>
      <c r="F356" cm="1">
        <f t="array" ref="F356">_xll.FDS(A356,"FE_ESTIMATE(EPS,MEAN,QTR_ROLL,-0,0,,,'')")</f>
        <v>-0.12</v>
      </c>
    </row>
    <row r="357" spans="1:6" x14ac:dyDescent="0.45">
      <c r="A357" t="s">
        <v>354</v>
      </c>
      <c r="B357" t="str" cm="1">
        <f t="array" ref="B357">_xll.FDS(A357,"FG_COMPANY_NAME")</f>
        <v>Paycom Software, Inc.</v>
      </c>
      <c r="C357" t="s">
        <v>512</v>
      </c>
      <c r="D357" s="2" cm="1">
        <f t="array" ref="D357">_xll.FDS(A357,"JULIAN(FF_EPS(QTR_R,0).dates)")</f>
        <v>46022</v>
      </c>
      <c r="E357" cm="1">
        <f t="array" ref="E357">_xll.FDS(A357,"FF_EPS(QTR_R,0)")</f>
        <v>2.0653000000000001</v>
      </c>
      <c r="F357" cm="1">
        <f t="array" ref="F357">_xll.FDS(A357,"FE_ESTIMATE(EPS,MEAN,QTR_ROLL,-0,0,,,'')")</f>
        <v>2.4500000000000002</v>
      </c>
    </row>
    <row r="358" spans="1:6" x14ac:dyDescent="0.45">
      <c r="A358" t="s">
        <v>355</v>
      </c>
      <c r="B358" t="str" cm="1">
        <f t="array" ref="B358">_xll.FDS(A358,"FG_COMPANY_NAME")</f>
        <v>Paychex, Inc.</v>
      </c>
      <c r="C358" t="s">
        <v>512</v>
      </c>
      <c r="D358" s="2" cm="1">
        <f t="array" ref="D358">_xll.FDS(A358,"JULIAN(FF_EPS(QTR_R,0).dates)")</f>
        <v>46080</v>
      </c>
      <c r="E358" cm="1">
        <f t="array" ref="E358">_xll.FDS(A358,"FF_EPS(QTR_R,0)")</f>
        <v>1.5586</v>
      </c>
      <c r="F358" cm="1">
        <f t="array" ref="F358">_xll.FDS(A358,"FE_ESTIMATE(EPS,MEAN,QTR_ROLL,-0,0,,,'')")</f>
        <v>1.71</v>
      </c>
    </row>
    <row r="359" spans="1:6" x14ac:dyDescent="0.45">
      <c r="A359" t="s">
        <v>356</v>
      </c>
      <c r="B359" t="str" cm="1">
        <f t="array" ref="B359">_xll.FDS(A359,"FG_COMPANY_NAME")</f>
        <v>PACCAR Inc</v>
      </c>
      <c r="C359" t="s">
        <v>512</v>
      </c>
      <c r="D359" s="2" cm="1">
        <f t="array" ref="D359">_xll.FDS(A359,"JULIAN(FF_EPS(QTR_R,0).dates)")</f>
        <v>46022</v>
      </c>
      <c r="E359" cm="1">
        <f t="array" ref="E359">_xll.FDS(A359,"FF_EPS(QTR_R,0)")</f>
        <v>1.0570999999999999</v>
      </c>
      <c r="F359" cm="1">
        <f t="array" ref="F359">_xll.FDS(A359,"FE_ESTIMATE(EPS,MEAN,QTR_ROLL,-0,0,,,'')")</f>
        <v>1.06</v>
      </c>
    </row>
    <row r="360" spans="1:6" x14ac:dyDescent="0.45">
      <c r="A360" t="s">
        <v>357</v>
      </c>
      <c r="B360" t="str" cm="1">
        <f t="array" ref="B360">_xll.FDS(A360,"FG_COMPANY_NAME")</f>
        <v>PG&amp;E Corporation</v>
      </c>
      <c r="C360" t="s">
        <v>505</v>
      </c>
      <c r="D360" s="2" cm="1">
        <f t="array" ref="D360">_xll.FDS(A360,"JULIAN(FF_EPS(QTR_R,0).dates)")</f>
        <v>46022</v>
      </c>
      <c r="E360" cm="1">
        <f t="array" ref="E360">_xll.FDS(A360,"FF_EPS(QTR_R,0)")</f>
        <v>0.29210000000000003</v>
      </c>
      <c r="F360" cm="1">
        <f t="array" ref="F360">_xll.FDS(A360,"FE_ESTIMATE(EPS,MEAN,QTR_ROLL,-0,0,,,'')")</f>
        <v>0.36</v>
      </c>
    </row>
    <row r="361" spans="1:6" x14ac:dyDescent="0.45">
      <c r="A361" t="s">
        <v>358</v>
      </c>
      <c r="B361" t="str" cm="1">
        <f t="array" ref="B361">_xll.FDS(A361,"FG_COMPANY_NAME")</f>
        <v>Healthpeak Properties, Inc.</v>
      </c>
      <c r="C361" t="s">
        <v>514</v>
      </c>
      <c r="D361" s="2" cm="1">
        <f t="array" ref="D361">_xll.FDS(A361,"JULIAN(FF_EPS(QTR_R,0).dates)")</f>
        <v>46022</v>
      </c>
      <c r="E361" cm="1">
        <f t="array" ref="E361">_xll.FDS(A361,"FF_EPS(QTR_R,0)")</f>
        <v>0.1638</v>
      </c>
      <c r="F361" cm="1">
        <f t="array" ref="F361">_xll.FDS(A361,"FE_ESTIMATE(EPS,MEAN,QTR_ROLL,-0,0,,,'')")</f>
        <v>0.16</v>
      </c>
    </row>
    <row r="362" spans="1:6" x14ac:dyDescent="0.45">
      <c r="A362" t="s">
        <v>359</v>
      </c>
      <c r="B362" t="str" cm="1">
        <f t="array" ref="B362">_xll.FDS(A362,"FG_COMPANY_NAME")</f>
        <v>Public Service Enterprise Group Inc</v>
      </c>
      <c r="C362" t="s">
        <v>505</v>
      </c>
      <c r="D362" s="2" cm="1">
        <f t="array" ref="D362">_xll.FDS(A362,"JULIAN(FF_EPS(QTR_R,0).dates)")</f>
        <v>46022</v>
      </c>
      <c r="E362" cm="1">
        <f t="array" ref="E362">_xll.FDS(A362,"FF_EPS(QTR_R,0)")</f>
        <v>0.62870000000000004</v>
      </c>
      <c r="F362" cm="1">
        <f t="array" ref="F362">_xll.FDS(A362,"FE_ESTIMATE(EPS,MEAN,QTR_ROLL,-0,0,,,'')")</f>
        <v>0.72</v>
      </c>
    </row>
    <row r="363" spans="1:6" x14ac:dyDescent="0.45">
      <c r="A363" t="s">
        <v>360</v>
      </c>
      <c r="B363" t="str" cm="1">
        <f t="array" ref="B363">_xll.FDS(A363,"FG_COMPANY_NAME")</f>
        <v>PepsiCo, Inc.</v>
      </c>
      <c r="C363" t="s">
        <v>511</v>
      </c>
      <c r="D363" s="2" cm="1">
        <f t="array" ref="D363">_xll.FDS(A363,"JULIAN(FF_EPS(QTR_R,0).dates)")</f>
        <v>46022</v>
      </c>
      <c r="E363" cm="1">
        <f t="array" ref="E363">_xll.FDS(A363,"FF_EPS(QTR_R,0)")</f>
        <v>1.8527</v>
      </c>
      <c r="F363" cm="1">
        <f t="array" ref="F363">_xll.FDS(A363,"FE_ESTIMATE(EPS,MEAN,QTR_ROLL,-0,0,,,'')")</f>
        <v>2.2599999999999998</v>
      </c>
    </row>
    <row r="364" spans="1:6" x14ac:dyDescent="0.45">
      <c r="A364" t="s">
        <v>361</v>
      </c>
      <c r="B364" t="str" cm="1">
        <f t="array" ref="B364">_xll.FDS(A364,"FG_COMPANY_NAME")</f>
        <v>Pfizer Inc.</v>
      </c>
      <c r="C364" t="s">
        <v>507</v>
      </c>
      <c r="D364" s="2" cm="1">
        <f t="array" ref="D364">_xll.FDS(A364,"JULIAN(FF_EPS(QTR_R,0).dates)")</f>
        <v>46022</v>
      </c>
      <c r="E364" cm="1">
        <f t="array" ref="E364">_xll.FDS(A364,"FF_EPS(QTR_R,0)")</f>
        <v>-0.2898</v>
      </c>
      <c r="F364" cm="1">
        <f t="array" ref="F364">_xll.FDS(A364,"FE_ESTIMATE(EPS,MEAN,QTR_ROLL,-0,0,,,'')")</f>
        <v>0.66</v>
      </c>
    </row>
    <row r="365" spans="1:6" x14ac:dyDescent="0.45">
      <c r="A365" t="s">
        <v>362</v>
      </c>
      <c r="B365" t="str" cm="1">
        <f t="array" ref="B365">_xll.FDS(A365,"FG_COMPANY_NAME")</f>
        <v>Principal Financial Group, Inc.</v>
      </c>
      <c r="C365" t="s">
        <v>510</v>
      </c>
      <c r="D365" s="2" cm="1">
        <f t="array" ref="D365">_xll.FDS(A365,"JULIAN(FF_EPS(QTR_R,0).dates)")</f>
        <v>46022</v>
      </c>
      <c r="E365" cm="1">
        <f t="array" ref="E365">_xll.FDS(A365,"FF_EPS(QTR_R,0)")</f>
        <v>2.3246000000000002</v>
      </c>
      <c r="F365" cm="1">
        <f t="array" ref="F365">_xll.FDS(A365,"FE_ESTIMATE(EPS,MEAN,QTR_ROLL,-0,0,,,'')")</f>
        <v>2.19</v>
      </c>
    </row>
    <row r="366" spans="1:6" x14ac:dyDescent="0.45">
      <c r="A366" t="s">
        <v>363</v>
      </c>
      <c r="B366" t="str" cm="1">
        <f t="array" ref="B366">_xll.FDS(A366,"FG_COMPANY_NAME")</f>
        <v>Procter &amp; Gamble Company</v>
      </c>
      <c r="C366" t="s">
        <v>511</v>
      </c>
      <c r="D366" s="2" cm="1">
        <f t="array" ref="D366">_xll.FDS(A366,"JULIAN(FF_EPS(QTR_R,0).dates)")</f>
        <v>46022</v>
      </c>
      <c r="E366" cm="1">
        <f t="array" ref="E366">_xll.FDS(A366,"FF_EPS(QTR_R,0)")</f>
        <v>1.7818000000000001</v>
      </c>
      <c r="F366" cm="1">
        <f t="array" ref="F366">_xll.FDS(A366,"FE_ESTIMATE(EPS,MEAN,QTR_ROLL,-0,0,,,'')")</f>
        <v>1.88</v>
      </c>
    </row>
    <row r="367" spans="1:6" x14ac:dyDescent="0.45">
      <c r="A367" t="s">
        <v>364</v>
      </c>
      <c r="B367" t="str" cm="1">
        <f t="array" ref="B367">_xll.FDS(A367,"FG_COMPANY_NAME")</f>
        <v>Progressive Corporation</v>
      </c>
      <c r="C367" t="s">
        <v>510</v>
      </c>
      <c r="D367" s="2" cm="1">
        <f t="array" ref="D367">_xll.FDS(A367,"JULIAN(FF_EPS(QTR_R,0).dates)")</f>
        <v>46022</v>
      </c>
      <c r="E367" cm="1">
        <f t="array" ref="E367">_xll.FDS(A367,"FF_EPS(QTR_R,0)")</f>
        <v>5.0186999999999999</v>
      </c>
      <c r="F367" cm="1">
        <f t="array" ref="F367">_xll.FDS(A367,"FE_ESTIMATE(EPS,MEAN,QTR_ROLL,-0,0,,,'')")</f>
        <v>4.5829250000000004</v>
      </c>
    </row>
    <row r="368" spans="1:6" x14ac:dyDescent="0.45">
      <c r="A368" t="s">
        <v>365</v>
      </c>
      <c r="B368" t="str" cm="1">
        <f t="array" ref="B368">_xll.FDS(A368,"FG_COMPANY_NAME")</f>
        <v>Parker-Hannifin Corporation</v>
      </c>
      <c r="C368" t="s">
        <v>512</v>
      </c>
      <c r="D368" s="2" cm="1">
        <f t="array" ref="D368">_xll.FDS(A368,"JULIAN(FF_EPS(QTR_R,0).dates)")</f>
        <v>46022</v>
      </c>
      <c r="E368" cm="1">
        <f t="array" ref="E368">_xll.FDS(A368,"FF_EPS(QTR_R,0)")</f>
        <v>6.5964</v>
      </c>
      <c r="F368" cm="1">
        <f t="array" ref="F368">_xll.FDS(A368,"FE_ESTIMATE(EPS,MEAN,QTR_ROLL,-0,0,,,'')")</f>
        <v>7.65</v>
      </c>
    </row>
    <row r="369" spans="1:6" x14ac:dyDescent="0.45">
      <c r="A369" t="s">
        <v>366</v>
      </c>
      <c r="B369" t="str" cm="1">
        <f t="array" ref="B369">_xll.FDS(A369,"FG_COMPANY_NAME")</f>
        <v>PulteGroup, Inc.</v>
      </c>
      <c r="C369" t="s">
        <v>509</v>
      </c>
      <c r="D369" s="2" cm="1">
        <f t="array" ref="D369">_xll.FDS(A369,"JULIAN(FF_EPS(QTR_R,0).dates)")</f>
        <v>46022</v>
      </c>
      <c r="E369" cm="1">
        <f t="array" ref="E369">_xll.FDS(A369,"FF_EPS(QTR_R,0)")</f>
        <v>2.5621</v>
      </c>
      <c r="F369" cm="1">
        <f t="array" ref="F369">_xll.FDS(A369,"FE_ESTIMATE(EPS,MEAN,QTR_ROLL,-0,0,,,'')")</f>
        <v>2.56</v>
      </c>
    </row>
    <row r="370" spans="1:6" x14ac:dyDescent="0.45">
      <c r="A370" t="s">
        <v>367</v>
      </c>
      <c r="B370" t="str" cm="1">
        <f t="array" ref="B370">_xll.FDS(A370,"FG_COMPANY_NAME")</f>
        <v>Packaging Corporation of America</v>
      </c>
      <c r="C370" t="s">
        <v>513</v>
      </c>
      <c r="D370" s="2" cm="1">
        <f t="array" ref="D370">_xll.FDS(A370,"JULIAN(FF_EPS(QTR_R,0).dates)")</f>
        <v>46022</v>
      </c>
      <c r="E370" cm="1">
        <f t="array" ref="E370">_xll.FDS(A370,"FF_EPS(QTR_R,0)")</f>
        <v>1.1284000000000001</v>
      </c>
      <c r="F370" cm="1">
        <f t="array" ref="F370">_xll.FDS(A370,"FE_ESTIMATE(EPS,MEAN,QTR_ROLL,-0,0,,,'')")</f>
        <v>2.3199999999999998</v>
      </c>
    </row>
    <row r="371" spans="1:6" x14ac:dyDescent="0.45">
      <c r="A371" t="s">
        <v>368</v>
      </c>
      <c r="B371" t="str" cm="1">
        <f t="array" ref="B371">_xll.FDS(A371,"FG_COMPANY_NAME")</f>
        <v>Prologis, Inc.</v>
      </c>
      <c r="C371" t="s">
        <v>514</v>
      </c>
      <c r="D371" s="2" cm="1">
        <f t="array" ref="D371">_xll.FDS(A371,"JULIAN(FF_EPS(QTR_R,0).dates)")</f>
        <v>46022</v>
      </c>
      <c r="E371" cm="1">
        <f t="array" ref="E371">_xll.FDS(A371,"FF_EPS(QTR_R,0)")</f>
        <v>1.4945999999999999</v>
      </c>
      <c r="F371" cm="1">
        <f t="array" ref="F371">_xll.FDS(A371,"FE_ESTIMATE(EPS,MEAN,QTR_ROLL,-0,0,,,'')")</f>
        <v>1.49</v>
      </c>
    </row>
    <row r="372" spans="1:6" x14ac:dyDescent="0.45">
      <c r="A372" t="s">
        <v>369</v>
      </c>
      <c r="B372" t="str" cm="1">
        <f t="array" ref="B372">_xll.FDS(A372,"FG_COMPANY_NAME")</f>
        <v>Palantir Technologies Inc. Class A</v>
      </c>
      <c r="C372" t="s">
        <v>508</v>
      </c>
      <c r="D372" s="2" cm="1">
        <f t="array" ref="D372">_xll.FDS(A372,"JULIAN(FF_EPS(QTR_R,0).dates)")</f>
        <v>46022</v>
      </c>
      <c r="E372" cm="1">
        <f t="array" ref="E372">_xll.FDS(A372,"FF_EPS(QTR_R,0)")</f>
        <v>0.23649999999999999</v>
      </c>
      <c r="F372" cm="1">
        <f t="array" ref="F372">_xll.FDS(A372,"FE_ESTIMATE(EPS,MEAN,QTR_ROLL,-0,0,,,'')")</f>
        <v>0.25</v>
      </c>
    </row>
    <row r="373" spans="1:6" x14ac:dyDescent="0.45">
      <c r="A373" t="s">
        <v>370</v>
      </c>
      <c r="B373" t="str" cm="1">
        <f t="array" ref="B373">_xll.FDS(A373,"FG_COMPANY_NAME")</f>
        <v>Philip Morris International Inc.</v>
      </c>
      <c r="C373" t="s">
        <v>511</v>
      </c>
      <c r="D373" s="2" cm="1">
        <f t="array" ref="D373">_xll.FDS(A373,"JULIAN(FF_EPS(QTR_R,0).dates)")</f>
        <v>46022</v>
      </c>
      <c r="E373" cm="1">
        <f t="array" ref="E373">_xll.FDS(A373,"FF_EPS(QTR_R,0)")</f>
        <v>1.3704000000000001</v>
      </c>
      <c r="F373" cm="1">
        <f t="array" ref="F373">_xll.FDS(A373,"FE_ESTIMATE(EPS,MEAN,QTR_ROLL,-0,0,,,'')")</f>
        <v>1.7</v>
      </c>
    </row>
    <row r="374" spans="1:6" x14ac:dyDescent="0.45">
      <c r="A374" t="s">
        <v>371</v>
      </c>
      <c r="B374" t="str" cm="1">
        <f t="array" ref="B374">_xll.FDS(A374,"FG_COMPANY_NAME")</f>
        <v>PNC Financial Services Group, Inc.</v>
      </c>
      <c r="C374" t="s">
        <v>510</v>
      </c>
      <c r="D374" s="2" cm="1">
        <f t="array" ref="D374">_xll.FDS(A374,"JULIAN(FF_EPS(QTR_R,0).dates)")</f>
        <v>46022</v>
      </c>
      <c r="E374" cm="1">
        <f t="array" ref="E374">_xll.FDS(A374,"FF_EPS(QTR_R,0)")</f>
        <v>4.8781999999999996</v>
      </c>
      <c r="F374" cm="1">
        <f t="array" ref="F374">_xll.FDS(A374,"FE_ESTIMATE(EPS,MEAN,QTR_ROLL,-0,0,,,'')")</f>
        <v>4.88</v>
      </c>
    </row>
    <row r="375" spans="1:6" x14ac:dyDescent="0.45">
      <c r="A375" t="s">
        <v>372</v>
      </c>
      <c r="B375" t="str" cm="1">
        <f t="array" ref="B375">_xll.FDS(A375,"FG_COMPANY_NAME")</f>
        <v>Pentair plc</v>
      </c>
      <c r="C375" t="s">
        <v>512</v>
      </c>
      <c r="D375" s="2" cm="1">
        <f t="array" ref="D375">_xll.FDS(A375,"JULIAN(FF_EPS(QTR_R,0).dates)")</f>
        <v>46022</v>
      </c>
      <c r="E375" cm="1">
        <f t="array" ref="E375">_xll.FDS(A375,"FF_EPS(QTR_R,0)")</f>
        <v>1.0085</v>
      </c>
      <c r="F375" cm="1">
        <f t="array" ref="F375">_xll.FDS(A375,"FE_ESTIMATE(EPS,MEAN,QTR_ROLL,-0,0,,,'')")</f>
        <v>1.18</v>
      </c>
    </row>
    <row r="376" spans="1:6" x14ac:dyDescent="0.45">
      <c r="A376" t="s">
        <v>373</v>
      </c>
      <c r="B376" t="str" cm="1">
        <f t="array" ref="B376">_xll.FDS(A376,"FG_COMPANY_NAME")</f>
        <v>Pinnacle West Capital Corp</v>
      </c>
      <c r="C376" t="s">
        <v>505</v>
      </c>
      <c r="D376" s="2" cm="1">
        <f t="array" ref="D376">_xll.FDS(A376,"JULIAN(FF_EPS(QTR_R,0).dates)")</f>
        <v>46022</v>
      </c>
      <c r="E376" cm="1">
        <f t="array" ref="E376">_xll.FDS(A376,"FF_EPS(QTR_R,0)")</f>
        <v>0.126</v>
      </c>
      <c r="F376" cm="1">
        <f t="array" ref="F376">_xll.FDS(A376,"FE_ESTIMATE(EPS,MEAN,QTR_ROLL,-0,0,,,'')")</f>
        <v>0.13</v>
      </c>
    </row>
    <row r="377" spans="1:6" x14ac:dyDescent="0.45">
      <c r="A377" t="s">
        <v>374</v>
      </c>
      <c r="B377" t="str" cm="1">
        <f t="array" ref="B377">_xll.FDS(A377,"FG_COMPANY_NAME")</f>
        <v>Insulet Corporation</v>
      </c>
      <c r="C377" t="s">
        <v>507</v>
      </c>
      <c r="D377" s="2" cm="1">
        <f t="array" ref="D377">_xll.FDS(A377,"JULIAN(FF_EPS(QTR_R,0).dates)")</f>
        <v>46022</v>
      </c>
      <c r="E377" cm="1">
        <f t="array" ref="E377">_xll.FDS(A377,"FF_EPS(QTR_R,0)")</f>
        <v>1.4406000000000001</v>
      </c>
      <c r="F377" cm="1">
        <f t="array" ref="F377">_xll.FDS(A377,"FE_ESTIMATE(EPS,MEAN,QTR_ROLL,-0,0,,,'')")</f>
        <v>1.55</v>
      </c>
    </row>
    <row r="378" spans="1:6" x14ac:dyDescent="0.45">
      <c r="A378" t="s">
        <v>375</v>
      </c>
      <c r="B378" t="str" cm="1">
        <f t="array" ref="B378">_xll.FDS(A378,"FG_COMPANY_NAME")</f>
        <v>Pool Corporation</v>
      </c>
      <c r="C378" t="s">
        <v>509</v>
      </c>
      <c r="D378" s="2" cm="1">
        <f t="array" ref="D378">_xll.FDS(A378,"JULIAN(FF_EPS(QTR_R,0).dates)")</f>
        <v>46022</v>
      </c>
      <c r="E378" cm="1">
        <f t="array" ref="E378">_xll.FDS(A378,"FF_EPS(QTR_R,0)")</f>
        <v>0.85260000000000002</v>
      </c>
      <c r="F378" cm="1">
        <f t="array" ref="F378">_xll.FDS(A378,"FE_ESTIMATE(EPS,MEAN,QTR_ROLL,-0,0,,,'')")</f>
        <v>0.84</v>
      </c>
    </row>
    <row r="379" spans="1:6" x14ac:dyDescent="0.45">
      <c r="A379" t="s">
        <v>376</v>
      </c>
      <c r="B379" t="str" cm="1">
        <f t="array" ref="B379">_xll.FDS(A379,"FG_COMPANY_NAME")</f>
        <v>PPG Industries, Inc.</v>
      </c>
      <c r="C379" t="s">
        <v>513</v>
      </c>
      <c r="D379" s="2" cm="1">
        <f t="array" ref="D379">_xll.FDS(A379,"JULIAN(FF_EPS(QTR_R,0).dates)")</f>
        <v>46022</v>
      </c>
      <c r="E379" cm="1">
        <f t="array" ref="E379">_xll.FDS(A379,"FF_EPS(QTR_R,0)")</f>
        <v>1.341</v>
      </c>
      <c r="F379" cm="1">
        <f t="array" ref="F379">_xll.FDS(A379,"FE_ESTIMATE(EPS,MEAN,QTR_ROLL,-0,0,,,'')")</f>
        <v>1.51</v>
      </c>
    </row>
    <row r="380" spans="1:6" x14ac:dyDescent="0.45">
      <c r="A380" t="s">
        <v>377</v>
      </c>
      <c r="B380" t="str" cm="1">
        <f t="array" ref="B380">_xll.FDS(A380,"FG_COMPANY_NAME")</f>
        <v>PPL Corporation</v>
      </c>
      <c r="C380" t="s">
        <v>505</v>
      </c>
      <c r="D380" s="2" cm="1">
        <f t="array" ref="D380">_xll.FDS(A380,"JULIAN(FF_EPS(QTR_R,0).dates)")</f>
        <v>46022</v>
      </c>
      <c r="E380" cm="1">
        <f t="array" ref="E380">_xll.FDS(A380,"FF_EPS(QTR_R,0)")</f>
        <v>0.35699999999999998</v>
      </c>
      <c r="F380" cm="1">
        <f t="array" ref="F380">_xll.FDS(A380,"FE_ESTIMATE(EPS,MEAN,QTR_ROLL,-0,0,,,'')")</f>
        <v>0.41</v>
      </c>
    </row>
    <row r="381" spans="1:6" x14ac:dyDescent="0.45">
      <c r="A381" t="s">
        <v>378</v>
      </c>
      <c r="B381" t="str" cm="1">
        <f t="array" ref="B381">_xll.FDS(A381,"FG_COMPANY_NAME")</f>
        <v>Prudential Financial, Inc.</v>
      </c>
      <c r="C381" t="s">
        <v>510</v>
      </c>
      <c r="D381" s="2" cm="1">
        <f t="array" ref="D381">_xll.FDS(A381,"JULIAN(FF_EPS(QTR_R,0).dates)")</f>
        <v>46022</v>
      </c>
      <c r="E381" cm="1">
        <f t="array" ref="E381">_xll.FDS(A381,"FF_EPS(QTR_R,0)")</f>
        <v>2.5506000000000002</v>
      </c>
      <c r="F381" cm="1">
        <f t="array" ref="F381">_xll.FDS(A381,"FE_ESTIMATE(EPS,MEAN,QTR_ROLL,-0,0,,,'')")</f>
        <v>3.3</v>
      </c>
    </row>
    <row r="382" spans="1:6" x14ac:dyDescent="0.45">
      <c r="A382" t="s">
        <v>379</v>
      </c>
      <c r="B382" t="str" cm="1">
        <f t="array" ref="B382">_xll.FDS(A382,"FG_COMPANY_NAME")</f>
        <v>Public Storage</v>
      </c>
      <c r="C382" t="s">
        <v>514</v>
      </c>
      <c r="D382" s="2" cm="1">
        <f t="array" ref="D382">_xll.FDS(A382,"JULIAN(FF_EPS(QTR_R,0).dates)")</f>
        <v>46022</v>
      </c>
      <c r="E382" cm="1">
        <f t="array" ref="E382">_xll.FDS(A382,"FF_EPS(QTR_R,0)")</f>
        <v>2.5985999999999998</v>
      </c>
      <c r="F382" cm="1">
        <f t="array" ref="F382">_xll.FDS(A382,"FE_ESTIMATE(EPS,MEAN,QTR_ROLL,-0,0,,,'')")</f>
        <v>2.6</v>
      </c>
    </row>
    <row r="383" spans="1:6" x14ac:dyDescent="0.45">
      <c r="A383" t="s">
        <v>380</v>
      </c>
      <c r="B383" t="str" cm="1">
        <f t="array" ref="B383">_xll.FDS(A383,"FG_COMPANY_NAME")</f>
        <v>Phillips 66</v>
      </c>
      <c r="C383" t="s">
        <v>515</v>
      </c>
      <c r="D383" s="2" cm="1">
        <f t="array" ref="D383">_xll.FDS(A383,"JULIAN(FF_EPS(QTR_R,0).dates)")</f>
        <v>46022</v>
      </c>
      <c r="E383" cm="1">
        <f t="array" ref="E383">_xll.FDS(A383,"FF_EPS(QTR_R,0)")</f>
        <v>7.1825999999999999</v>
      </c>
      <c r="F383" cm="1">
        <f t="array" ref="F383">_xll.FDS(A383,"FE_ESTIMATE(EPS,MEAN,QTR_ROLL,-0,0,,,'')")</f>
        <v>2.4700000000000002</v>
      </c>
    </row>
    <row r="384" spans="1:6" x14ac:dyDescent="0.45">
      <c r="A384" t="s">
        <v>381</v>
      </c>
      <c r="B384" t="str" cm="1">
        <f t="array" ref="B384">_xll.FDS(A384,"FG_COMPANY_NAME")</f>
        <v>PTC Inc.</v>
      </c>
      <c r="C384" t="s">
        <v>508</v>
      </c>
      <c r="D384" s="2" cm="1">
        <f t="array" ref="D384">_xll.FDS(A384,"JULIAN(FF_EPS(QTR_R,0).dates)")</f>
        <v>46022</v>
      </c>
      <c r="E384" cm="1">
        <f t="array" ref="E384">_xll.FDS(A384,"FF_EPS(QTR_R,0)")</f>
        <v>1.3877999999999999</v>
      </c>
      <c r="F384" cm="1">
        <f t="array" ref="F384">_xll.FDS(A384,"FE_ESTIMATE(EPS,MEAN,QTR_ROLL,-0,0,,,'')")</f>
        <v>1.92</v>
      </c>
    </row>
    <row r="385" spans="1:6" x14ac:dyDescent="0.45">
      <c r="A385" t="s">
        <v>382</v>
      </c>
      <c r="B385" t="str" cm="1">
        <f t="array" ref="B385">_xll.FDS(A385,"FG_COMPANY_NAME")</f>
        <v>PVH Corp.</v>
      </c>
      <c r="C385" t="s">
        <v>509</v>
      </c>
      <c r="D385" s="2" cm="1">
        <f t="array" ref="D385">_xll.FDS(A385,"JULIAN(FF_EPS(QTR_R,0).dates)")</f>
        <v>45961</v>
      </c>
      <c r="E385" cm="1">
        <f t="array" ref="E385">_xll.FDS(A385,"FF_EPS(QTR_R,0)")</f>
        <v>8.77E-2</v>
      </c>
      <c r="F385" cm="1">
        <f t="array" ref="F385">_xll.FDS(A385,"FE_ESTIMATE(EPS,MEAN,QTR_ROLL,-0,0,,,'')")</f>
        <v>2.83</v>
      </c>
    </row>
    <row r="386" spans="1:6" x14ac:dyDescent="0.45">
      <c r="A386" t="s">
        <v>383</v>
      </c>
      <c r="B386" t="str" cm="1">
        <f t="array" ref="B386">_xll.FDS(A386,"FG_COMPANY_NAME")</f>
        <v>Quanta Services, Inc.</v>
      </c>
      <c r="C386" t="s">
        <v>512</v>
      </c>
      <c r="D386" s="2" cm="1">
        <f t="array" ref="D386">_xll.FDS(A386,"JULIAN(FF_EPS(QTR_R,0).dates)")</f>
        <v>46022</v>
      </c>
      <c r="E386" cm="1">
        <f t="array" ref="E386">_xll.FDS(A386,"FF_EPS(QTR_R,0)")</f>
        <v>2.0789</v>
      </c>
      <c r="F386" cm="1">
        <f t="array" ref="F386">_xll.FDS(A386,"FE_ESTIMATE(EPS,MEAN,QTR_ROLL,-0,0,,,'')")</f>
        <v>3.16</v>
      </c>
    </row>
    <row r="387" spans="1:6" x14ac:dyDescent="0.45">
      <c r="A387" t="s">
        <v>384</v>
      </c>
      <c r="B387" t="str" cm="1">
        <f t="array" ref="B387">_xll.FDS(A387,"FG_COMPANY_NAME")</f>
        <v>Pioneer Natural Resources Company</v>
      </c>
      <c r="C387" t="s">
        <v>515</v>
      </c>
      <c r="D387" s="2" cm="1">
        <f t="array" ref="D387">_xll.FDS(A387,"JULIAN(FF_EPS(QTR_R,0).dates)")</f>
        <v>45379</v>
      </c>
      <c r="E387" cm="1">
        <f t="array" ref="E387">_xll.FDS(A387,"FF_EPS(QTR_R,0)")</f>
        <v>4.5731999999999999</v>
      </c>
      <c r="F387" t="e" cm="1">
        <f t="array" ref="F387">_xll.FDS(A387,"FE_ESTIMATE(EPS,MEAN,QTR_ROLL,-0,0,,,'')")</f>
        <v>#N/A</v>
      </c>
    </row>
    <row r="388" spans="1:6" x14ac:dyDescent="0.45">
      <c r="A388" t="s">
        <v>385</v>
      </c>
      <c r="B388" t="str" cm="1">
        <f t="array" ref="B388">_xll.FDS(A388,"FG_COMPANY_NAME")</f>
        <v>PayPal Holdings, Inc.</v>
      </c>
      <c r="C388" t="s">
        <v>510</v>
      </c>
      <c r="D388" s="2" cm="1">
        <f t="array" ref="D388">_xll.FDS(A388,"JULIAN(FF_EPS(QTR_R,0).dates)")</f>
        <v>46022</v>
      </c>
      <c r="E388" cm="1">
        <f t="array" ref="E388">_xll.FDS(A388,"FF_EPS(QTR_R,0)")</f>
        <v>1.5304</v>
      </c>
      <c r="F388" cm="1">
        <f t="array" ref="F388">_xll.FDS(A388,"FE_ESTIMATE(EPS,MEAN,QTR_ROLL,-0,0,,,'')")</f>
        <v>1.23</v>
      </c>
    </row>
    <row r="389" spans="1:6" x14ac:dyDescent="0.45">
      <c r="A389" t="s">
        <v>386</v>
      </c>
      <c r="B389" t="str" cm="1">
        <f t="array" ref="B389">_xll.FDS(A389,"FG_COMPANY_NAME")</f>
        <v>QUALCOMM Incorporated</v>
      </c>
      <c r="C389" t="s">
        <v>508</v>
      </c>
      <c r="D389" s="2" cm="1">
        <f t="array" ref="D389">_xll.FDS(A389,"JULIAN(FF_EPS(QTR_R,0).dates)")</f>
        <v>46022</v>
      </c>
      <c r="E389" cm="1">
        <f t="array" ref="E389">_xll.FDS(A389,"FF_EPS(QTR_R,0)")</f>
        <v>2.7841</v>
      </c>
      <c r="F389" cm="1">
        <f t="array" ref="F389">_xll.FDS(A389,"FE_ESTIMATE(EPS,MEAN,QTR_ROLL,-0,0,,,'')")</f>
        <v>3.5</v>
      </c>
    </row>
    <row r="390" spans="1:6" x14ac:dyDescent="0.45">
      <c r="A390" t="s">
        <v>387</v>
      </c>
      <c r="B390" t="str" cm="1">
        <f t="array" ref="B390">_xll.FDS(A390,"FG_COMPANY_NAME")</f>
        <v>Qorvo, Inc.</v>
      </c>
      <c r="C390" t="s">
        <v>508</v>
      </c>
      <c r="D390" s="2" cm="1">
        <f t="array" ref="D390">_xll.FDS(A390,"JULIAN(FF_EPS(QTR_R,0).dates)")</f>
        <v>46022</v>
      </c>
      <c r="E390" cm="1">
        <f t="array" ref="E390">_xll.FDS(A390,"FF_EPS(QTR_R,0)")</f>
        <v>1.7533000000000001</v>
      </c>
      <c r="F390" cm="1">
        <f t="array" ref="F390">_xll.FDS(A390,"FE_ESTIMATE(EPS,MEAN,QTR_ROLL,-0,0,,,'')")</f>
        <v>2.17</v>
      </c>
    </row>
    <row r="391" spans="1:6" x14ac:dyDescent="0.45">
      <c r="A391" t="s">
        <v>388</v>
      </c>
      <c r="B391" t="str" cm="1">
        <f t="array" ref="B391">_xll.FDS(A391,"FG_COMPANY_NAME")</f>
        <v>Royal Caribbean Group</v>
      </c>
      <c r="C391" t="s">
        <v>509</v>
      </c>
      <c r="D391" s="2" cm="1">
        <f t="array" ref="D391">_xll.FDS(A391,"JULIAN(FF_EPS(QTR_R,0).dates)")</f>
        <v>46022</v>
      </c>
      <c r="E391" cm="1">
        <f t="array" ref="E391">_xll.FDS(A391,"FF_EPS(QTR_R,0)")</f>
        <v>2.7618999999999998</v>
      </c>
      <c r="F391" cm="1">
        <f t="array" ref="F391">_xll.FDS(A391,"FE_ESTIMATE(EPS,MEAN,QTR_ROLL,-0,0,,,'')")</f>
        <v>2.8</v>
      </c>
    </row>
    <row r="392" spans="1:6" x14ac:dyDescent="0.45">
      <c r="A392" t="s">
        <v>389</v>
      </c>
      <c r="B392" t="str" cm="1">
        <f t="array" ref="B392">_xll.FDS(A392,"FG_COMPANY_NAME")</f>
        <v>Everest Group, Ltd.</v>
      </c>
      <c r="C392" t="s">
        <v>510</v>
      </c>
      <c r="D392" s="2" cm="1">
        <f t="array" ref="D392">_xll.FDS(A392,"JULIAN(FF_EPS(QTR_R,0).dates)")</f>
        <v>46022</v>
      </c>
      <c r="E392" cm="1">
        <f t="array" ref="E392">_xll.FDS(A392,"FF_EPS(QTR_R,0)")</f>
        <v>10.731199999999999</v>
      </c>
      <c r="F392" cm="1">
        <f t="array" ref="F392">_xll.FDS(A392,"FE_ESTIMATE(EPS,MEAN,QTR_ROLL,-0,0,,,'')")</f>
        <v>13.26</v>
      </c>
    </row>
    <row r="393" spans="1:6" x14ac:dyDescent="0.45">
      <c r="A393" t="s">
        <v>390</v>
      </c>
      <c r="B393" t="str" cm="1">
        <f t="array" ref="B393">_xll.FDS(A393,"FG_COMPANY_NAME")</f>
        <v>Regency Centers Corporation</v>
      </c>
      <c r="C393" t="s">
        <v>514</v>
      </c>
      <c r="D393" s="2" cm="1">
        <f t="array" ref="D393">_xll.FDS(A393,"JULIAN(FF_EPS(QTR_R,0).dates)")</f>
        <v>46022</v>
      </c>
      <c r="E393" cm="1">
        <f t="array" ref="E393">_xll.FDS(A393,"FF_EPS(QTR_R,0)")</f>
        <v>1.0871</v>
      </c>
      <c r="F393" cm="1">
        <f t="array" ref="F393">_xll.FDS(A393,"FE_ESTIMATE(EPS,MEAN,QTR_ROLL,-0,0,,,'')")</f>
        <v>1.0900000000000001</v>
      </c>
    </row>
    <row r="394" spans="1:6" x14ac:dyDescent="0.45">
      <c r="A394" t="s">
        <v>391</v>
      </c>
      <c r="B394" t="str" cm="1">
        <f t="array" ref="B394">_xll.FDS(A394,"FG_COMPANY_NAME")</f>
        <v>Regeneron Pharmaceuticals, Inc.</v>
      </c>
      <c r="C394" t="s">
        <v>507</v>
      </c>
      <c r="D394" s="2" cm="1">
        <f t="array" ref="D394">_xll.FDS(A394,"JULIAN(FF_EPS(QTR_R,0).dates)")</f>
        <v>46022</v>
      </c>
      <c r="E394" cm="1">
        <f t="array" ref="E394">_xll.FDS(A394,"FF_EPS(QTR_R,0)")</f>
        <v>7.8567</v>
      </c>
      <c r="F394" cm="1">
        <f t="array" ref="F394">_xll.FDS(A394,"FE_ESTIMATE(EPS,MEAN,QTR_ROLL,-0,0,,,'')")</f>
        <v>11.44</v>
      </c>
    </row>
    <row r="395" spans="1:6" x14ac:dyDescent="0.45">
      <c r="A395" t="s">
        <v>392</v>
      </c>
      <c r="B395" t="str" cm="1">
        <f t="array" ref="B395">_xll.FDS(A395,"FG_COMPANY_NAME")</f>
        <v>Regions Financial Corporation</v>
      </c>
      <c r="C395" t="s">
        <v>510</v>
      </c>
      <c r="D395" s="2" cm="1">
        <f t="array" ref="D395">_xll.FDS(A395,"JULIAN(FF_EPS(QTR_R,0).dates)")</f>
        <v>46022</v>
      </c>
      <c r="E395" cm="1">
        <f t="array" ref="E395">_xll.FDS(A395,"FF_EPS(QTR_R,0)")</f>
        <v>0.58409999999999995</v>
      </c>
      <c r="F395" cm="1">
        <f t="array" ref="F395">_xll.FDS(A395,"FE_ESTIMATE(EPS,MEAN,QTR_ROLL,-0,0,,,'')")</f>
        <v>0.56999999999999995</v>
      </c>
    </row>
    <row r="396" spans="1:6" x14ac:dyDescent="0.45">
      <c r="A396" t="s">
        <v>393</v>
      </c>
      <c r="B396" t="str" cm="1">
        <f t="array" ref="B396">_xll.FDS(A396,"FG_COMPANY_NAME")</f>
        <v>Raymond James Financial, Inc.</v>
      </c>
      <c r="C396" t="s">
        <v>510</v>
      </c>
      <c r="D396" s="2" cm="1">
        <f t="array" ref="D396">_xll.FDS(A396,"JULIAN(FF_EPS(QTR_R,0).dates)")</f>
        <v>46022</v>
      </c>
      <c r="E396" cm="1">
        <f t="array" ref="E396">_xll.FDS(A396,"FF_EPS(QTR_R,0)")</f>
        <v>2.7854999999999999</v>
      </c>
      <c r="F396" cm="1">
        <f t="array" ref="F396">_xll.FDS(A396,"FE_ESTIMATE(EPS,MEAN,QTR_ROLL,-0,0,,,'')")</f>
        <v>2.86</v>
      </c>
    </row>
    <row r="397" spans="1:6" x14ac:dyDescent="0.45">
      <c r="A397" t="s">
        <v>394</v>
      </c>
      <c r="B397" t="str" cm="1">
        <f t="array" ref="B397">_xll.FDS(A397,"FG_COMPANY_NAME")</f>
        <v>Ralph Lauren Corporation Class A</v>
      </c>
      <c r="C397" t="s">
        <v>509</v>
      </c>
      <c r="D397" s="2" cm="1">
        <f t="array" ref="D397">_xll.FDS(A397,"JULIAN(FF_EPS(QTR_R,0).dates)")</f>
        <v>46022</v>
      </c>
      <c r="E397" cm="1">
        <f t="array" ref="E397">_xll.FDS(A397,"FF_EPS(QTR_R,0)")</f>
        <v>5.8135000000000003</v>
      </c>
      <c r="F397" cm="1">
        <f t="array" ref="F397">_xll.FDS(A397,"FE_ESTIMATE(EPS,MEAN,QTR_ROLL,-0,0,,,'')")</f>
        <v>6.22</v>
      </c>
    </row>
    <row r="398" spans="1:6" x14ac:dyDescent="0.45">
      <c r="A398" t="s">
        <v>395</v>
      </c>
      <c r="B398" t="str" cm="1">
        <f t="array" ref="B398">_xll.FDS(A398,"FG_COMPANY_NAME")</f>
        <v>ResMed Inc.</v>
      </c>
      <c r="C398" t="s">
        <v>507</v>
      </c>
      <c r="D398" s="2" cm="1">
        <f t="array" ref="D398">_xll.FDS(A398,"JULIAN(FF_EPS(QTR_R,0).dates)")</f>
        <v>46022</v>
      </c>
      <c r="E398" cm="1">
        <f t="array" ref="E398">_xll.FDS(A398,"FF_EPS(QTR_R,0)")</f>
        <v>2.6821999999999999</v>
      </c>
      <c r="F398" cm="1">
        <f t="array" ref="F398">_xll.FDS(A398,"FE_ESTIMATE(EPS,MEAN,QTR_ROLL,-0,0,,,'')")</f>
        <v>2.81</v>
      </c>
    </row>
    <row r="399" spans="1:6" x14ac:dyDescent="0.45">
      <c r="A399" t="s">
        <v>396</v>
      </c>
      <c r="B399" t="str" cm="1">
        <f t="array" ref="B399">_xll.FDS(A399,"FG_COMPANY_NAME")</f>
        <v>Rockwell Automation, Inc.</v>
      </c>
      <c r="C399" t="s">
        <v>512</v>
      </c>
      <c r="D399" s="2" cm="1">
        <f t="array" ref="D399">_xll.FDS(A399,"JULIAN(FF_EPS(QTR_R,0).dates)")</f>
        <v>46022</v>
      </c>
      <c r="E399" cm="1">
        <f t="array" ref="E399">_xll.FDS(A399,"FF_EPS(QTR_R,0)")</f>
        <v>2.6926000000000001</v>
      </c>
      <c r="F399" cm="1">
        <f t="array" ref="F399">_xll.FDS(A399,"FE_ESTIMATE(EPS,MEAN,QTR_ROLL,-0,0,,,'')")</f>
        <v>2.75</v>
      </c>
    </row>
    <row r="400" spans="1:6" x14ac:dyDescent="0.45">
      <c r="A400" t="s">
        <v>397</v>
      </c>
      <c r="B400" t="str" cm="1">
        <f t="array" ref="B400">_xll.FDS(A400,"FG_COMPANY_NAME")</f>
        <v>Rollins, Inc.</v>
      </c>
      <c r="C400" t="s">
        <v>512</v>
      </c>
      <c r="D400" s="2" cm="1">
        <f t="array" ref="D400">_xll.FDS(A400,"JULIAN(FF_EPS(QTR_R,0).dates)")</f>
        <v>46022</v>
      </c>
      <c r="E400" cm="1">
        <f t="array" ref="E400">_xll.FDS(A400,"FF_EPS(QTR_R,0)")</f>
        <v>0.2412</v>
      </c>
      <c r="F400" cm="1">
        <f t="array" ref="F400">_xll.FDS(A400,"FE_ESTIMATE(EPS,MEAN,QTR_ROLL,-0,0,,,'')")</f>
        <v>0.24</v>
      </c>
    </row>
    <row r="401" spans="1:6" x14ac:dyDescent="0.45">
      <c r="A401" t="s">
        <v>398</v>
      </c>
      <c r="B401" t="str" cm="1">
        <f t="array" ref="B401">_xll.FDS(A401,"FG_COMPANY_NAME")</f>
        <v>Roper Technologies, Inc.</v>
      </c>
      <c r="C401" t="s">
        <v>512</v>
      </c>
      <c r="D401" s="2" cm="1">
        <f t="array" ref="D401">_xll.FDS(A401,"JULIAN(FF_EPS(QTR_R,0).dates)")</f>
        <v>46022</v>
      </c>
      <c r="E401" cm="1">
        <f t="array" ref="E401">_xll.FDS(A401,"FF_EPS(QTR_R,0)")</f>
        <v>3.9740000000000002</v>
      </c>
      <c r="F401" cm="1">
        <f t="array" ref="F401">_xll.FDS(A401,"FE_ESTIMATE(EPS,MEAN,QTR_ROLL,-0,0,,,'')")</f>
        <v>5.21</v>
      </c>
    </row>
    <row r="402" spans="1:6" x14ac:dyDescent="0.45">
      <c r="A402" t="s">
        <v>399</v>
      </c>
      <c r="B402" t="str" cm="1">
        <f t="array" ref="B402">_xll.FDS(A402,"FG_COMPANY_NAME")</f>
        <v>Ross Stores, Inc.</v>
      </c>
      <c r="C402" t="s">
        <v>509</v>
      </c>
      <c r="D402" s="2" cm="1">
        <f t="array" ref="D402">_xll.FDS(A402,"JULIAN(FF_EPS(QTR_R,0).dates)")</f>
        <v>46052</v>
      </c>
      <c r="E402" cm="1">
        <f t="array" ref="E402">_xll.FDS(A402,"FF_EPS(QTR_R,0)")</f>
        <v>2</v>
      </c>
      <c r="F402" cm="1">
        <f t="array" ref="F402">_xll.FDS(A402,"FE_ESTIMATE(EPS,MEAN,QTR_ROLL,-0,0,,,'')")</f>
        <v>2</v>
      </c>
    </row>
    <row r="403" spans="1:6" x14ac:dyDescent="0.45">
      <c r="A403" t="s">
        <v>400</v>
      </c>
      <c r="B403" t="str" cm="1">
        <f t="array" ref="B403">_xll.FDS(A403,"FG_COMPANY_NAME")</f>
        <v>Republic Services, Inc.</v>
      </c>
      <c r="C403" t="s">
        <v>512</v>
      </c>
      <c r="D403" s="2" cm="1">
        <f t="array" ref="D403">_xll.FDS(A403,"JULIAN(FF_EPS(QTR_R,0).dates)")</f>
        <v>46022</v>
      </c>
      <c r="E403" cm="1">
        <f t="array" ref="E403">_xll.FDS(A403,"FF_EPS(QTR_R,0)")</f>
        <v>1.7598</v>
      </c>
      <c r="F403" cm="1">
        <f t="array" ref="F403">_xll.FDS(A403,"FE_ESTIMATE(EPS,MEAN,QTR_ROLL,-0,0,,,'')")</f>
        <v>1.76</v>
      </c>
    </row>
    <row r="404" spans="1:6" x14ac:dyDescent="0.45">
      <c r="A404" t="s">
        <v>401</v>
      </c>
      <c r="B404" t="str" cm="1">
        <f t="array" ref="B404">_xll.FDS(A404,"FG_COMPANY_NAME")</f>
        <v>RTX Corporation</v>
      </c>
      <c r="C404" t="s">
        <v>512</v>
      </c>
      <c r="D404" s="2" cm="1">
        <f t="array" ref="D404">_xll.FDS(A404,"JULIAN(FF_EPS(QTR_R,0).dates)")</f>
        <v>46022</v>
      </c>
      <c r="E404" cm="1">
        <f t="array" ref="E404">_xll.FDS(A404,"FF_EPS(QTR_R,0)")</f>
        <v>1.1912</v>
      </c>
      <c r="F404" cm="1">
        <f t="array" ref="F404">_xll.FDS(A404,"FE_ESTIMATE(EPS,MEAN,QTR_ROLL,-0,0,,,'')")</f>
        <v>1.55</v>
      </c>
    </row>
    <row r="405" spans="1:6" x14ac:dyDescent="0.45">
      <c r="A405" t="s">
        <v>402</v>
      </c>
      <c r="B405" t="str" cm="1">
        <f t="array" ref="B405">_xll.FDS(A405,"FG_COMPANY_NAME")</f>
        <v>Revvity, Inc.</v>
      </c>
      <c r="C405" t="s">
        <v>507</v>
      </c>
      <c r="D405" s="2" cm="1">
        <f t="array" ref="D405">_xll.FDS(A405,"JULIAN(FF_EPS(QTR_R,0).dates)")</f>
        <v>46022</v>
      </c>
      <c r="E405" cm="1">
        <f t="array" ref="E405">_xll.FDS(A405,"FF_EPS(QTR_R,0)")</f>
        <v>0.87080000000000002</v>
      </c>
      <c r="F405" cm="1">
        <f t="array" ref="F405">_xll.FDS(A405,"FE_ESTIMATE(EPS,MEAN,QTR_ROLL,-0,0,,,'')")</f>
        <v>1.7</v>
      </c>
    </row>
    <row r="406" spans="1:6" x14ac:dyDescent="0.45">
      <c r="A406" t="s">
        <v>403</v>
      </c>
      <c r="B406" t="str" cm="1">
        <f t="array" ref="B406">_xll.FDS(A406,"FG_COMPANY_NAME")</f>
        <v>SBA Communications Corp. Class A</v>
      </c>
      <c r="C406" t="s">
        <v>514</v>
      </c>
      <c r="D406" s="2" cm="1">
        <f t="array" ref="D406">_xll.FDS(A406,"JULIAN(FF_EPS(QTR_R,0).dates)")</f>
        <v>46022</v>
      </c>
      <c r="E406" cm="1">
        <f t="array" ref="E406">_xll.FDS(A406,"FF_EPS(QTR_R,0)")</f>
        <v>3.472</v>
      </c>
      <c r="F406" cm="1">
        <f t="array" ref="F406">_xll.FDS(A406,"FE_ESTIMATE(EPS,MEAN,QTR_ROLL,-0,0,,,'')")</f>
        <v>3.47</v>
      </c>
    </row>
    <row r="407" spans="1:6" x14ac:dyDescent="0.45">
      <c r="A407" t="s">
        <v>404</v>
      </c>
      <c r="B407" t="str" cm="1">
        <f t="array" ref="B407">_xll.FDS(A407,"FG_COMPANY_NAME")</f>
        <v>Starbucks Corporation</v>
      </c>
      <c r="C407" t="s">
        <v>509</v>
      </c>
      <c r="D407" s="2" cm="1">
        <f t="array" ref="D407">_xll.FDS(A407,"JULIAN(FF_EPS(QTR_R,0).dates)")</f>
        <v>46022</v>
      </c>
      <c r="E407" cm="1">
        <f t="array" ref="E407">_xll.FDS(A407,"FF_EPS(QTR_R,0)")</f>
        <v>0.25679999999999997</v>
      </c>
      <c r="F407" cm="1">
        <f t="array" ref="F407">_xll.FDS(A407,"FE_ESTIMATE(EPS,MEAN,QTR_ROLL,-0,0,,,'')")</f>
        <v>0.56000000000000005</v>
      </c>
    </row>
    <row r="408" spans="1:6" x14ac:dyDescent="0.45">
      <c r="A408" t="s">
        <v>405</v>
      </c>
      <c r="B408" t="str" cm="1">
        <f t="array" ref="B408">_xll.FDS(A408,"FG_COMPANY_NAME")</f>
        <v>Charles Schwab Corp</v>
      </c>
      <c r="C408" t="s">
        <v>510</v>
      </c>
      <c r="D408" s="2" cm="1">
        <f t="array" ref="D408">_xll.FDS(A408,"JULIAN(FF_EPS(QTR_R,0).dates)")</f>
        <v>46022</v>
      </c>
      <c r="E408" cm="1">
        <f t="array" ref="E408">_xll.FDS(A408,"FF_EPS(QTR_R,0)")</f>
        <v>1.3320000000000001</v>
      </c>
      <c r="F408" cm="1">
        <f t="array" ref="F408">_xll.FDS(A408,"FE_ESTIMATE(EPS,MEAN,QTR_ROLL,-0,0,,,'')")</f>
        <v>1.39</v>
      </c>
    </row>
    <row r="409" spans="1:6" x14ac:dyDescent="0.45">
      <c r="A409" t="s">
        <v>406</v>
      </c>
      <c r="B409" t="str" cm="1">
        <f t="array" ref="B409">_xll.FDS(A409,"FG_COMPANY_NAME")</f>
        <v>Sealed Air Corporation</v>
      </c>
      <c r="C409" t="s">
        <v>513</v>
      </c>
      <c r="D409" s="2" cm="1">
        <f t="array" ref="D409">_xll.FDS(A409,"JULIAN(FF_EPS(QTR_R,0).dates)")</f>
        <v>46022</v>
      </c>
      <c r="E409" cm="1">
        <f t="array" ref="E409">_xll.FDS(A409,"FF_EPS(QTR_R,0)")</f>
        <v>0.29959999999999998</v>
      </c>
      <c r="F409" cm="1">
        <f t="array" ref="F409">_xll.FDS(A409,"FE_ESTIMATE(EPS,MEAN,QTR_ROLL,-0,0,,,'')")</f>
        <v>0.77</v>
      </c>
    </row>
    <row r="410" spans="1:6" x14ac:dyDescent="0.45">
      <c r="A410" t="s">
        <v>407</v>
      </c>
      <c r="B410" t="str" cm="1">
        <f t="array" ref="B410">_xll.FDS(A410,"FG_COMPANY_NAME")</f>
        <v>Sherwin-Williams Company</v>
      </c>
      <c r="C410" t="s">
        <v>513</v>
      </c>
      <c r="D410" s="2" cm="1">
        <f t="array" ref="D410">_xll.FDS(A410,"JULIAN(FF_EPS(QTR_R,0).dates)")</f>
        <v>46022</v>
      </c>
      <c r="E410" cm="1">
        <f t="array" ref="E410">_xll.FDS(A410,"FF_EPS(QTR_R,0)")</f>
        <v>1.9164000000000001</v>
      </c>
      <c r="F410" cm="1">
        <f t="array" ref="F410">_xll.FDS(A410,"FE_ESTIMATE(EPS,MEAN,QTR_ROLL,-0,0,,,'')")</f>
        <v>2.23</v>
      </c>
    </row>
    <row r="411" spans="1:6" x14ac:dyDescent="0.45">
      <c r="A411" t="s">
        <v>408</v>
      </c>
      <c r="B411" t="str" cm="1">
        <f t="array" ref="B411">_xll.FDS(A411,"FG_COMPANY_NAME")</f>
        <v>J.M. Smucker Company</v>
      </c>
      <c r="C411" t="s">
        <v>511</v>
      </c>
      <c r="D411" s="2" cm="1">
        <f t="array" ref="D411">_xll.FDS(A411,"JULIAN(FF_EPS(QTR_R,0).dates)")</f>
        <v>46052</v>
      </c>
      <c r="E411" cm="1">
        <f t="array" ref="E411">_xll.FDS(A411,"FF_EPS(QTR_R,0)")</f>
        <v>-6.7872000000000003</v>
      </c>
      <c r="F411" cm="1">
        <f t="array" ref="F411">_xll.FDS(A411,"FE_ESTIMATE(EPS,MEAN,QTR_ROLL,-0,0,,,'')")</f>
        <v>2.38</v>
      </c>
    </row>
    <row r="412" spans="1:6" x14ac:dyDescent="0.45">
      <c r="A412" t="s">
        <v>409</v>
      </c>
      <c r="B412" t="str" cm="1">
        <f t="array" ref="B412">_xll.FDS(A412,"FG_COMPANY_NAME")</f>
        <v>SLB Limited</v>
      </c>
      <c r="C412" t="s">
        <v>515</v>
      </c>
      <c r="D412" s="2" cm="1">
        <f t="array" ref="D412">_xll.FDS(A412,"JULIAN(FF_EPS(QTR_R,0).dates)")</f>
        <v>46022</v>
      </c>
      <c r="E412" cm="1">
        <f t="array" ref="E412">_xll.FDS(A412,"FF_EPS(QTR_R,0)")</f>
        <v>0.54530000000000001</v>
      </c>
      <c r="F412" cm="1">
        <f t="array" ref="F412">_xll.FDS(A412,"FE_ESTIMATE(EPS,MEAN,QTR_ROLL,-0,0,,,'')")</f>
        <v>0.78</v>
      </c>
    </row>
    <row r="413" spans="1:6" x14ac:dyDescent="0.45">
      <c r="A413" t="s">
        <v>410</v>
      </c>
      <c r="B413" t="str" cm="1">
        <f t="array" ref="B413">_xll.FDS(A413,"FG_COMPANY_NAME")</f>
        <v>Super Micro Computer, Inc.</v>
      </c>
      <c r="C413" t="s">
        <v>508</v>
      </c>
      <c r="D413" s="2" cm="1">
        <f t="array" ref="D413">_xll.FDS(A413,"JULIAN(FF_EPS(QTR_R,0).dates)")</f>
        <v>46022</v>
      </c>
      <c r="E413" cm="1">
        <f t="array" ref="E413">_xll.FDS(A413,"FF_EPS(QTR_R,0)")</f>
        <v>0.60299999999999998</v>
      </c>
      <c r="F413" cm="1">
        <f t="array" ref="F413">_xll.FDS(A413,"FE_ESTIMATE(EPS,MEAN,QTR_ROLL,-0,0,,,'')")</f>
        <v>0.69</v>
      </c>
    </row>
    <row r="414" spans="1:6" x14ac:dyDescent="0.45">
      <c r="A414" t="s">
        <v>411</v>
      </c>
      <c r="B414" t="str" cm="1">
        <f t="array" ref="B414">_xll.FDS(A414,"FG_COMPANY_NAME")</f>
        <v>Snap-on Incorporated</v>
      </c>
      <c r="C414" t="s">
        <v>512</v>
      </c>
      <c r="D414" s="2" cm="1">
        <f t="array" ref="D414">_xll.FDS(A414,"JULIAN(FF_EPS(QTR_R,0).dates)")</f>
        <v>46022</v>
      </c>
      <c r="E414" cm="1">
        <f t="array" ref="E414">_xll.FDS(A414,"FF_EPS(QTR_R,0)")</f>
        <v>4.9375</v>
      </c>
      <c r="F414" cm="1">
        <f t="array" ref="F414">_xll.FDS(A414,"FE_ESTIMATE(EPS,MEAN,QTR_ROLL,-0,0,,,'')")</f>
        <v>4.9400000000000004</v>
      </c>
    </row>
    <row r="415" spans="1:6" x14ac:dyDescent="0.45">
      <c r="A415" t="s">
        <v>412</v>
      </c>
      <c r="B415" t="str" cm="1">
        <f t="array" ref="B415">_xll.FDS(A415,"FG_COMPANY_NAME")</f>
        <v>Synopsys, Inc.</v>
      </c>
      <c r="C415" t="s">
        <v>508</v>
      </c>
      <c r="D415" s="2" cm="1">
        <f t="array" ref="D415">_xll.FDS(A415,"JULIAN(FF_EPS(QTR_R,0).dates)")</f>
        <v>46052</v>
      </c>
      <c r="E415" cm="1">
        <f t="array" ref="E415">_xll.FDS(A415,"FF_EPS(QTR_R,0)")</f>
        <v>0.34050000000000002</v>
      </c>
      <c r="F415" cm="1">
        <f t="array" ref="F415">_xll.FDS(A415,"FE_ESTIMATE(EPS,MEAN,QTR_ROLL,-0,0,,,'')")</f>
        <v>3.77</v>
      </c>
    </row>
    <row r="416" spans="1:6" x14ac:dyDescent="0.45">
      <c r="A416" t="s">
        <v>413</v>
      </c>
      <c r="B416" t="str" cm="1">
        <f t="array" ref="B416">_xll.FDS(A416,"FG_COMPANY_NAME")</f>
        <v>Southern Company</v>
      </c>
      <c r="C416" t="s">
        <v>505</v>
      </c>
      <c r="D416" s="2" cm="1">
        <f t="array" ref="D416">_xll.FDS(A416,"JULIAN(FF_EPS(QTR_R,0).dates)")</f>
        <v>46022</v>
      </c>
      <c r="E416" cm="1">
        <f t="array" ref="E416">_xll.FDS(A416,"FF_EPS(QTR_R,0)")</f>
        <v>0.37190000000000001</v>
      </c>
      <c r="F416" cm="1">
        <f t="array" ref="F416">_xll.FDS(A416,"FE_ESTIMATE(EPS,MEAN,QTR_ROLL,-0,0,,,'')")</f>
        <v>0.55000000000000004</v>
      </c>
    </row>
    <row r="417" spans="1:6" x14ac:dyDescent="0.45">
      <c r="A417" t="s">
        <v>414</v>
      </c>
      <c r="B417" t="str" cm="1">
        <f t="array" ref="B417">_xll.FDS(A417,"FG_COMPANY_NAME")</f>
        <v>Simon Property Group, Inc.</v>
      </c>
      <c r="C417" t="s">
        <v>514</v>
      </c>
      <c r="D417" s="2" cm="1">
        <f t="array" ref="D417">_xll.FDS(A417,"JULIAN(FF_EPS(QTR_R,0).dates)")</f>
        <v>46022</v>
      </c>
      <c r="E417" cm="1">
        <f t="array" ref="E417">_xll.FDS(A417,"FF_EPS(QTR_R,0)")</f>
        <v>0.56010000000000004</v>
      </c>
      <c r="F417" cm="1">
        <f t="array" ref="F417">_xll.FDS(A417,"FE_ESTIMATE(EPS,MEAN,QTR_ROLL,-0,0,,,'')")</f>
        <v>9.35</v>
      </c>
    </row>
    <row r="418" spans="1:6" x14ac:dyDescent="0.45">
      <c r="A418" t="s">
        <v>415</v>
      </c>
      <c r="B418" t="str" cm="1">
        <f t="array" ref="B418">_xll.FDS(A418,"FG_COMPANY_NAME")</f>
        <v>S&amp;P Global, Inc.</v>
      </c>
      <c r="C418" t="s">
        <v>510</v>
      </c>
      <c r="D418" s="2" cm="1">
        <f t="array" ref="D418">_xll.FDS(A418,"JULIAN(FF_EPS(QTR_R,0).dates)")</f>
        <v>46022</v>
      </c>
      <c r="E418" cm="1">
        <f t="array" ref="E418">_xll.FDS(A418,"FF_EPS(QTR_R,0)")</f>
        <v>3.7536999999999998</v>
      </c>
      <c r="F418" cm="1">
        <f t="array" ref="F418">_xll.FDS(A418,"FE_ESTIMATE(EPS,MEAN,QTR_ROLL,-0,0,,,'')")</f>
        <v>4.3</v>
      </c>
    </row>
    <row r="419" spans="1:6" x14ac:dyDescent="0.45">
      <c r="A419" t="s">
        <v>416</v>
      </c>
      <c r="B419" t="str" cm="1">
        <f t="array" ref="B419">_xll.FDS(A419,"FG_COMPANY_NAME")</f>
        <v>Sempra</v>
      </c>
      <c r="C419" t="s">
        <v>505</v>
      </c>
      <c r="D419" s="2" cm="1">
        <f t="array" ref="D419">_xll.FDS(A419,"JULIAN(FF_EPS(QTR_R,0).dates)")</f>
        <v>46022</v>
      </c>
      <c r="E419" cm="1">
        <f t="array" ref="E419">_xll.FDS(A419,"FF_EPS(QTR_R,0)")</f>
        <v>0.53739999999999999</v>
      </c>
      <c r="F419" cm="1">
        <f t="array" ref="F419">_xll.FDS(A419,"FE_ESTIMATE(EPS,MEAN,QTR_ROLL,-0,0,,,'')")</f>
        <v>1.28</v>
      </c>
    </row>
    <row r="420" spans="1:6" x14ac:dyDescent="0.45">
      <c r="A420" t="s">
        <v>417</v>
      </c>
      <c r="B420" t="str" cm="1">
        <f t="array" ref="B420">_xll.FDS(A420,"FG_COMPANY_NAME")</f>
        <v>STERIS plc</v>
      </c>
      <c r="C420" t="s">
        <v>507</v>
      </c>
      <c r="D420" s="2" cm="1">
        <f t="array" ref="D420">_xll.FDS(A420,"JULIAN(FF_EPS(QTR_R,0).dates)")</f>
        <v>46022</v>
      </c>
      <c r="E420" cm="1">
        <f t="array" ref="E420">_xll.FDS(A420,"FF_EPS(QTR_R,0)")</f>
        <v>1.9563999999999999</v>
      </c>
      <c r="F420" cm="1">
        <f t="array" ref="F420">_xll.FDS(A420,"FE_ESTIMATE(EPS,MEAN,QTR_ROLL,-0,0,,,'')")</f>
        <v>2.5299999999999998</v>
      </c>
    </row>
    <row r="421" spans="1:6" x14ac:dyDescent="0.45">
      <c r="A421" t="s">
        <v>418</v>
      </c>
      <c r="B421" t="str" cm="1">
        <f t="array" ref="B421">_xll.FDS(A421,"FG_COMPANY_NAME")</f>
        <v>Steel Dynamics, Inc.</v>
      </c>
      <c r="C421" t="s">
        <v>513</v>
      </c>
      <c r="D421" s="2" cm="1">
        <f t="array" ref="D421">_xll.FDS(A421,"JULIAN(FF_EPS(QTR_R,0).dates)")</f>
        <v>46022</v>
      </c>
      <c r="E421" cm="1">
        <f t="array" ref="E421">_xll.FDS(A421,"FF_EPS(QTR_R,0)")</f>
        <v>1.819</v>
      </c>
      <c r="F421" cm="1">
        <f t="array" ref="F421">_xll.FDS(A421,"FE_ESTIMATE(EPS,MEAN,QTR_ROLL,-0,0,,,'')")</f>
        <v>1.82</v>
      </c>
    </row>
    <row r="422" spans="1:6" x14ac:dyDescent="0.45">
      <c r="A422" t="s">
        <v>419</v>
      </c>
      <c r="B422" t="str" cm="1">
        <f t="array" ref="B422">_xll.FDS(A422,"FG_COMPANY_NAME")</f>
        <v>State Street Corporation</v>
      </c>
      <c r="C422" t="s">
        <v>510</v>
      </c>
      <c r="D422" s="2" cm="1">
        <f t="array" ref="D422">_xll.FDS(A422,"JULIAN(FF_EPS(QTR_R,0).dates)")</f>
        <v>46022</v>
      </c>
      <c r="E422" cm="1">
        <f t="array" ref="E422">_xll.FDS(A422,"FF_EPS(QTR_R,0)")</f>
        <v>2.4157000000000002</v>
      </c>
      <c r="F422" cm="1">
        <f t="array" ref="F422">_xll.FDS(A422,"FE_ESTIMATE(EPS,MEAN,QTR_ROLL,-0,0,,,'')")</f>
        <v>2.97</v>
      </c>
    </row>
    <row r="423" spans="1:6" x14ac:dyDescent="0.45">
      <c r="A423" t="s">
        <v>420</v>
      </c>
      <c r="B423" t="str" cm="1">
        <f t="array" ref="B423">_xll.FDS(A423,"FG_COMPANY_NAME")</f>
        <v>Seagate Technology Holdings PLC</v>
      </c>
      <c r="C423" t="s">
        <v>508</v>
      </c>
      <c r="D423" s="2" cm="1">
        <f t="array" ref="D423">_xll.FDS(A423,"JULIAN(FF_EPS(QTR_R,0).dates)")</f>
        <v>46022</v>
      </c>
      <c r="E423" cm="1">
        <f t="array" ref="E423">_xll.FDS(A423,"FF_EPS(QTR_R,0)")</f>
        <v>2.6009000000000002</v>
      </c>
      <c r="F423" cm="1">
        <f t="array" ref="F423">_xll.FDS(A423,"FE_ESTIMATE(EPS,MEAN,QTR_ROLL,-0,0,,,'')")</f>
        <v>3.11</v>
      </c>
    </row>
    <row r="424" spans="1:6" x14ac:dyDescent="0.45">
      <c r="A424" t="s">
        <v>421</v>
      </c>
      <c r="B424" t="str" cm="1">
        <f t="array" ref="B424">_xll.FDS(A424,"FG_COMPANY_NAME")</f>
        <v>Constellation Brands, Inc. Class A</v>
      </c>
      <c r="C424" t="s">
        <v>511</v>
      </c>
      <c r="D424" s="2" cm="1">
        <f t="array" ref="D424">_xll.FDS(A424,"JULIAN(FF_EPS(QTR_R,0).dates)")</f>
        <v>45989</v>
      </c>
      <c r="E424" cm="1">
        <f t="array" ref="E424">_xll.FDS(A424,"FF_EPS(QTR_R,0)")</f>
        <v>2.8795000000000002</v>
      </c>
      <c r="F424" cm="1">
        <f t="array" ref="F424">_xll.FDS(A424,"FE_ESTIMATE(EPS,MEAN,QTR_ROLL,-0,0,,,'')")</f>
        <v>3.06</v>
      </c>
    </row>
    <row r="425" spans="1:6" x14ac:dyDescent="0.45">
      <c r="A425" t="s">
        <v>422</v>
      </c>
      <c r="B425" t="str" cm="1">
        <f t="array" ref="B425">_xll.FDS(A425,"FG_COMPANY_NAME")</f>
        <v>Stanley Black &amp; Decker, Inc.</v>
      </c>
      <c r="C425" t="s">
        <v>512</v>
      </c>
      <c r="D425" s="2" cm="1">
        <f t="array" ref="D425">_xll.FDS(A425,"JULIAN(FF_EPS(QTR_R,0).dates)")</f>
        <v>46022</v>
      </c>
      <c r="E425" cm="1">
        <f t="array" ref="E425">_xll.FDS(A425,"FF_EPS(QTR_R,0)")</f>
        <v>1.0398000000000001</v>
      </c>
      <c r="F425" cm="1">
        <f t="array" ref="F425">_xll.FDS(A425,"FE_ESTIMATE(EPS,MEAN,QTR_ROLL,-0,0,,,'')")</f>
        <v>1.41</v>
      </c>
    </row>
    <row r="426" spans="1:6" x14ac:dyDescent="0.45">
      <c r="A426" t="s">
        <v>423</v>
      </c>
      <c r="B426" t="str" cm="1">
        <f t="array" ref="B426">_xll.FDS(A426,"FG_COMPANY_NAME")</f>
        <v>Skyworks Solutions, Inc.</v>
      </c>
      <c r="C426" t="s">
        <v>508</v>
      </c>
      <c r="D426" s="2" cm="1">
        <f t="array" ref="D426">_xll.FDS(A426,"JULIAN(FF_EPS(QTR_R,0).dates)")</f>
        <v>46022</v>
      </c>
      <c r="E426" cm="1">
        <f t="array" ref="E426">_xll.FDS(A426,"FF_EPS(QTR_R,0)")</f>
        <v>0.5262</v>
      </c>
      <c r="F426" cm="1">
        <f t="array" ref="F426">_xll.FDS(A426,"FE_ESTIMATE(EPS,MEAN,QTR_ROLL,-0,0,,,'')")</f>
        <v>1.54</v>
      </c>
    </row>
    <row r="427" spans="1:6" x14ac:dyDescent="0.45">
      <c r="A427" t="s">
        <v>424</v>
      </c>
      <c r="B427" t="str" cm="1">
        <f t="array" ref="B427">_xll.FDS(A427,"FG_COMPANY_NAME")</f>
        <v>Synchrony Financial</v>
      </c>
      <c r="C427" t="s">
        <v>510</v>
      </c>
      <c r="D427" s="2" cm="1">
        <f t="array" ref="D427">_xll.FDS(A427,"JULIAN(FF_EPS(QTR_R,0).dates)")</f>
        <v>46022</v>
      </c>
      <c r="E427" cm="1">
        <f t="array" ref="E427">_xll.FDS(A427,"FF_EPS(QTR_R,0)")</f>
        <v>2.0413999999999999</v>
      </c>
      <c r="F427" cm="1">
        <f t="array" ref="F427">_xll.FDS(A427,"FE_ESTIMATE(EPS,MEAN,QTR_ROLL,-0,0,,,'')")</f>
        <v>2.04</v>
      </c>
    </row>
    <row r="428" spans="1:6" x14ac:dyDescent="0.45">
      <c r="A428" t="s">
        <v>425</v>
      </c>
      <c r="B428" t="str" cm="1">
        <f t="array" ref="B428">_xll.FDS(A428,"FG_COMPANY_NAME")</f>
        <v>Stryker Corporation</v>
      </c>
      <c r="C428" t="s">
        <v>507</v>
      </c>
      <c r="D428" s="2" cm="1">
        <f t="array" ref="D428">_xll.FDS(A428,"JULIAN(FF_EPS(QTR_R,0).dates)")</f>
        <v>46022</v>
      </c>
      <c r="E428" cm="1">
        <f t="array" ref="E428">_xll.FDS(A428,"FF_EPS(QTR_R,0)")</f>
        <v>2.1966000000000001</v>
      </c>
      <c r="F428" cm="1">
        <f t="array" ref="F428">_xll.FDS(A428,"FE_ESTIMATE(EPS,MEAN,QTR_ROLL,-0,0,,,'')")</f>
        <v>4.47</v>
      </c>
    </row>
    <row r="429" spans="1:6" x14ac:dyDescent="0.45">
      <c r="A429" t="s">
        <v>426</v>
      </c>
      <c r="B429" t="str" cm="1">
        <f t="array" ref="B429">_xll.FDS(A429,"FG_COMPANY_NAME")</f>
        <v>Sysco Corporation</v>
      </c>
      <c r="C429" t="s">
        <v>511</v>
      </c>
      <c r="D429" s="2" cm="1">
        <f t="array" ref="D429">_xll.FDS(A429,"JULIAN(FF_EPS(QTR_R,0).dates)")</f>
        <v>46022</v>
      </c>
      <c r="E429" cm="1">
        <f t="array" ref="E429">_xll.FDS(A429,"FF_EPS(QTR_R,0)")</f>
        <v>0.80930000000000002</v>
      </c>
      <c r="F429" cm="1">
        <f t="array" ref="F429">_xll.FDS(A429,"FE_ESTIMATE(EPS,MEAN,QTR_ROLL,-0,0,,,'')")</f>
        <v>0.99</v>
      </c>
    </row>
    <row r="430" spans="1:6" x14ac:dyDescent="0.45">
      <c r="A430" t="s">
        <v>427</v>
      </c>
      <c r="B430" t="str" cm="1">
        <f t="array" ref="B430">_xll.FDS(A430,"FG_COMPANY_NAME")</f>
        <v>AT&amp;T Inc</v>
      </c>
      <c r="C430" t="s">
        <v>516</v>
      </c>
      <c r="D430" s="2" cm="1">
        <f t="array" ref="D430">_xll.FDS(A430,"JULIAN(FF_EPS(QTR_R,0).dates)")</f>
        <v>46022</v>
      </c>
      <c r="E430" cm="1">
        <f t="array" ref="E430">_xll.FDS(A430,"FF_EPS(QTR_R,0)")</f>
        <v>0.52829999999999999</v>
      </c>
      <c r="F430" cm="1">
        <f t="array" ref="F430">_xll.FDS(A430,"FE_ESTIMATE(EPS,MEAN,QTR_ROLL,-0,0,,,'')")</f>
        <v>0.52</v>
      </c>
    </row>
    <row r="431" spans="1:6" x14ac:dyDescent="0.45">
      <c r="A431" t="s">
        <v>428</v>
      </c>
      <c r="B431" t="str" cm="1">
        <f t="array" ref="B431">_xll.FDS(A431,"FG_COMPANY_NAME")</f>
        <v>Molson Coors Beverage Company Class B</v>
      </c>
      <c r="C431" t="s">
        <v>511</v>
      </c>
      <c r="D431" s="2" cm="1">
        <f t="array" ref="D431">_xll.FDS(A431,"JULIAN(FF_EPS(QTR_R,0).dates)")</f>
        <v>46022</v>
      </c>
      <c r="E431" cm="1">
        <f t="array" ref="E431">_xll.FDS(A431,"FF_EPS(QTR_R,0)")</f>
        <v>1.2177</v>
      </c>
      <c r="F431" cm="1">
        <f t="array" ref="F431">_xll.FDS(A431,"FE_ESTIMATE(EPS,MEAN,QTR_ROLL,-0,0,,,'')")</f>
        <v>1.21</v>
      </c>
    </row>
    <row r="432" spans="1:6" x14ac:dyDescent="0.45">
      <c r="A432" t="s">
        <v>429</v>
      </c>
      <c r="B432" t="str" cm="1">
        <f t="array" ref="B432">_xll.FDS(A432,"FG_COMPANY_NAME")</f>
        <v>TransDigm Group Incorporated</v>
      </c>
      <c r="C432" t="s">
        <v>512</v>
      </c>
      <c r="D432" s="2" cm="1">
        <f t="array" ref="D432">_xll.FDS(A432,"JULIAN(FF_EPS(QTR_R,0).dates)")</f>
        <v>46022</v>
      </c>
      <c r="E432" cm="1">
        <f t="array" ref="E432">_xll.FDS(A432,"FF_EPS(QTR_R,0)")</f>
        <v>6.6322999999999999</v>
      </c>
      <c r="F432" cm="1">
        <f t="array" ref="F432">_xll.FDS(A432,"FE_ESTIMATE(EPS,MEAN,QTR_ROLL,-0,0,,,'')")</f>
        <v>8.23</v>
      </c>
    </row>
    <row r="433" spans="1:6" x14ac:dyDescent="0.45">
      <c r="A433" t="s">
        <v>430</v>
      </c>
      <c r="B433" t="str" cm="1">
        <f t="array" ref="B433">_xll.FDS(A433,"FG_COMPANY_NAME")</f>
        <v>Teledyne Technologies Incorporated</v>
      </c>
      <c r="C433" t="s">
        <v>512</v>
      </c>
      <c r="D433" s="2" cm="1">
        <f t="array" ref="D433">_xll.FDS(A433,"JULIAN(FF_EPS(QTR_R,0).dates)")</f>
        <v>46022</v>
      </c>
      <c r="E433" cm="1">
        <f t="array" ref="E433">_xll.FDS(A433,"FF_EPS(QTR_R,0)")</f>
        <v>5.8390000000000004</v>
      </c>
      <c r="F433" cm="1">
        <f t="array" ref="F433">_xll.FDS(A433,"FE_ESTIMATE(EPS,MEAN,QTR_ROLL,-0,0,,,'')")</f>
        <v>6.3</v>
      </c>
    </row>
    <row r="434" spans="1:6" x14ac:dyDescent="0.45">
      <c r="A434" t="s">
        <v>431</v>
      </c>
      <c r="B434" t="str" cm="1">
        <f t="array" ref="B434">_xll.FDS(A434,"FG_COMPANY_NAME")</f>
        <v>Bio-Techne Corporation</v>
      </c>
      <c r="C434" t="s">
        <v>507</v>
      </c>
      <c r="D434" s="2" cm="1">
        <f t="array" ref="D434">_xll.FDS(A434,"JULIAN(FF_EPS(QTR_R,0).dates)")</f>
        <v>46022</v>
      </c>
      <c r="E434" cm="1">
        <f t="array" ref="E434">_xll.FDS(A434,"FF_EPS(QTR_R,0)")</f>
        <v>0.24210000000000001</v>
      </c>
      <c r="F434" cm="1">
        <f t="array" ref="F434">_xll.FDS(A434,"FE_ESTIMATE(EPS,MEAN,QTR_ROLL,-0,0,,,'')")</f>
        <v>0.46</v>
      </c>
    </row>
    <row r="435" spans="1:6" x14ac:dyDescent="0.45">
      <c r="A435" t="s">
        <v>432</v>
      </c>
      <c r="B435" t="str" cm="1">
        <f t="array" ref="B435">_xll.FDS(A435,"FG_COMPANY_NAME")</f>
        <v>TE Connectivity plc</v>
      </c>
      <c r="C435" t="s">
        <v>508</v>
      </c>
      <c r="D435" s="2" cm="1">
        <f t="array" ref="D435">_xll.FDS(A435,"JULIAN(FF_EPS(QTR_R,0).dates)")</f>
        <v>46022</v>
      </c>
      <c r="E435" cm="1">
        <f t="array" ref="E435">_xll.FDS(A435,"FF_EPS(QTR_R,0)")</f>
        <v>2.5253000000000001</v>
      </c>
      <c r="F435" cm="1">
        <f t="array" ref="F435">_xll.FDS(A435,"FE_ESTIMATE(EPS,MEAN,QTR_ROLL,-0,0,,,'')")</f>
        <v>2.72</v>
      </c>
    </row>
    <row r="436" spans="1:6" x14ac:dyDescent="0.45">
      <c r="A436" t="s">
        <v>433</v>
      </c>
      <c r="B436" t="str" cm="1">
        <f t="array" ref="B436">_xll.FDS(A436,"FG_COMPANY_NAME")</f>
        <v>Teradyne, Inc.</v>
      </c>
      <c r="C436" t="s">
        <v>508</v>
      </c>
      <c r="D436" s="2" cm="1">
        <f t="array" ref="D436">_xll.FDS(A436,"JULIAN(FF_EPS(QTR_R,0).dates)")</f>
        <v>46022</v>
      </c>
      <c r="E436" cm="1">
        <f t="array" ref="E436">_xll.FDS(A436,"FF_EPS(QTR_R,0)")</f>
        <v>1.6315999999999999</v>
      </c>
      <c r="F436" cm="1">
        <f t="array" ref="F436">_xll.FDS(A436,"FE_ESTIMATE(EPS,MEAN,QTR_ROLL,-0,0,,,'')")</f>
        <v>1.8</v>
      </c>
    </row>
    <row r="437" spans="1:6" x14ac:dyDescent="0.45">
      <c r="A437" t="s">
        <v>434</v>
      </c>
      <c r="B437" t="str" cm="1">
        <f t="array" ref="B437">_xll.FDS(A437,"FG_COMPANY_NAME")</f>
        <v>Truist Financial Corporation</v>
      </c>
      <c r="C437" t="s">
        <v>510</v>
      </c>
      <c r="D437" s="2" cm="1">
        <f t="array" ref="D437">_xll.FDS(A437,"JULIAN(FF_EPS(QTR_R,0).dates)")</f>
        <v>46022</v>
      </c>
      <c r="E437" cm="1">
        <f t="array" ref="E437">_xll.FDS(A437,"FF_EPS(QTR_R,0)")</f>
        <v>1.0029999999999999</v>
      </c>
      <c r="F437" cm="1">
        <f t="array" ref="F437">_xll.FDS(A437,"FE_ESTIMATE(EPS,MEAN,QTR_ROLL,-0,0,,,'')")</f>
        <v>1</v>
      </c>
    </row>
    <row r="438" spans="1:6" x14ac:dyDescent="0.45">
      <c r="A438" t="s">
        <v>435</v>
      </c>
      <c r="B438" t="str" cm="1">
        <f t="array" ref="B438">_xll.FDS(A438,"FG_COMPANY_NAME")</f>
        <v>Teleflex Incorporated</v>
      </c>
      <c r="C438" t="s">
        <v>507</v>
      </c>
      <c r="D438" s="2" cm="1">
        <f t="array" ref="D438">_xll.FDS(A438,"JULIAN(FF_EPS(QTR_R,0).dates)")</f>
        <v>46022</v>
      </c>
      <c r="E438" cm="1">
        <f t="array" ref="E438">_xll.FDS(A438,"FF_EPS(QTR_R,0)")</f>
        <v>-16.147400000000001</v>
      </c>
      <c r="F438" cm="1">
        <f t="array" ref="F438">_xll.FDS(A438,"FE_ESTIMATE(EPS,MEAN,QTR_ROLL,-0,0,,,'')")</f>
        <v>1.93</v>
      </c>
    </row>
    <row r="439" spans="1:6" x14ac:dyDescent="0.45">
      <c r="A439" t="s">
        <v>436</v>
      </c>
      <c r="B439" t="str" cm="1">
        <f t="array" ref="B439">_xll.FDS(A439,"FG_COMPANY_NAME")</f>
        <v>Target Corporation</v>
      </c>
      <c r="C439" t="s">
        <v>509</v>
      </c>
      <c r="D439" s="2" cm="1">
        <f t="array" ref="D439">_xll.FDS(A439,"JULIAN(FF_EPS(QTR_R,0).dates)")</f>
        <v>46052</v>
      </c>
      <c r="E439" cm="1">
        <f t="array" ref="E439">_xll.FDS(A439,"FF_EPS(QTR_R,0)")</f>
        <v>2.2984</v>
      </c>
      <c r="F439" cm="1">
        <f t="array" ref="F439">_xll.FDS(A439,"FE_ESTIMATE(EPS,MEAN,QTR_ROLL,-0,0,,,'')")</f>
        <v>2.44</v>
      </c>
    </row>
    <row r="440" spans="1:6" x14ac:dyDescent="0.45">
      <c r="A440" t="s">
        <v>437</v>
      </c>
      <c r="B440" t="str" cm="1">
        <f t="array" ref="B440">_xll.FDS(A440,"FG_COMPANY_NAME")</f>
        <v>TJX Companies Inc</v>
      </c>
      <c r="C440" t="s">
        <v>509</v>
      </c>
      <c r="D440" s="2" cm="1">
        <f t="array" ref="D440">_xll.FDS(A440,"JULIAN(FF_EPS(QTR_R,0).dates)")</f>
        <v>46052</v>
      </c>
      <c r="E440" cm="1">
        <f t="array" ref="E440">_xll.FDS(A440,"FF_EPS(QTR_R,0)")</f>
        <v>1.5760000000000001</v>
      </c>
      <c r="F440" cm="1">
        <f t="array" ref="F440">_xll.FDS(A440,"FE_ESTIMATE(EPS,MEAN,QTR_ROLL,-0,0,,,'')")</f>
        <v>1.43</v>
      </c>
    </row>
    <row r="441" spans="1:6" x14ac:dyDescent="0.45">
      <c r="A441" t="s">
        <v>438</v>
      </c>
      <c r="B441" t="str" cm="1">
        <f t="array" ref="B441">_xll.FDS(A441,"FG_COMPANY_NAME")</f>
        <v>Thermo Fisher Scientific Inc.</v>
      </c>
      <c r="C441" t="s">
        <v>507</v>
      </c>
      <c r="D441" s="2" cm="1">
        <f t="array" ref="D441">_xll.FDS(A441,"JULIAN(FF_EPS(QTR_R,0).dates)")</f>
        <v>46022</v>
      </c>
      <c r="E441" cm="1">
        <f t="array" ref="E441">_xll.FDS(A441,"FF_EPS(QTR_R,0)")</f>
        <v>5.2096</v>
      </c>
      <c r="F441" cm="1">
        <f t="array" ref="F441">_xll.FDS(A441,"FE_ESTIMATE(EPS,MEAN,QTR_ROLL,-0,0,,,'')")</f>
        <v>6.57</v>
      </c>
    </row>
    <row r="442" spans="1:6" x14ac:dyDescent="0.45">
      <c r="A442" t="s">
        <v>439</v>
      </c>
      <c r="B442" t="str" cm="1">
        <f t="array" ref="B442">_xll.FDS(A442,"FG_COMPANY_NAME")</f>
        <v>T-Mobile US, Inc.</v>
      </c>
      <c r="C442" t="s">
        <v>516</v>
      </c>
      <c r="D442" s="2" cm="1">
        <f t="array" ref="D442">_xll.FDS(A442,"JULIAN(FF_EPS(QTR_R,0).dates)")</f>
        <v>46022</v>
      </c>
      <c r="E442" cm="1">
        <f t="array" ref="E442">_xll.FDS(A442,"FF_EPS(QTR_R,0)")</f>
        <v>1.8821000000000001</v>
      </c>
      <c r="F442" cm="1">
        <f t="array" ref="F442">_xll.FDS(A442,"FE_ESTIMATE(EPS,MEAN,QTR_ROLL,-0,0,,,'')")</f>
        <v>1.88</v>
      </c>
    </row>
    <row r="443" spans="1:6" x14ac:dyDescent="0.45">
      <c r="A443" t="s">
        <v>440</v>
      </c>
      <c r="B443" t="str" cm="1">
        <f t="array" ref="B443">_xll.FDS(A443,"FG_COMPANY_NAME")</f>
        <v>Tapestry, Inc.</v>
      </c>
      <c r="C443" t="s">
        <v>509</v>
      </c>
      <c r="D443" s="2" cm="1">
        <f t="array" ref="D443">_xll.FDS(A443,"JULIAN(FF_EPS(QTR_R,0).dates)")</f>
        <v>46022</v>
      </c>
      <c r="E443" cm="1">
        <f t="array" ref="E443">_xll.FDS(A443,"FF_EPS(QTR_R,0)")</f>
        <v>2.6753999999999998</v>
      </c>
      <c r="F443" cm="1">
        <f t="array" ref="F443">_xll.FDS(A443,"FE_ESTIMATE(EPS,MEAN,QTR_ROLL,-0,0,,,'')")</f>
        <v>2.69</v>
      </c>
    </row>
    <row r="444" spans="1:6" x14ac:dyDescent="0.45">
      <c r="A444" t="s">
        <v>441</v>
      </c>
      <c r="B444" t="str" cm="1">
        <f t="array" ref="B444">_xll.FDS(A444,"FG_COMPANY_NAME")</f>
        <v>Targa Resources Corp.</v>
      </c>
      <c r="C444" t="s">
        <v>515</v>
      </c>
      <c r="D444" s="2" cm="1">
        <f t="array" ref="D444">_xll.FDS(A444,"JULIAN(FF_EPS(QTR_R,0).dates)")</f>
        <v>46022</v>
      </c>
      <c r="E444" cm="1">
        <f t="array" ref="E444">_xll.FDS(A444,"FF_EPS(QTR_R,0)")</f>
        <v>2.5249000000000001</v>
      </c>
      <c r="F444" cm="1">
        <f t="array" ref="F444">_xll.FDS(A444,"FE_ESTIMATE(EPS,MEAN,QTR_ROLL,-0,0,,,'')")</f>
        <v>2.5381927000000002</v>
      </c>
    </row>
    <row r="445" spans="1:6" x14ac:dyDescent="0.45">
      <c r="A445" t="s">
        <v>442</v>
      </c>
      <c r="B445" t="str" cm="1">
        <f t="array" ref="B445">_xll.FDS(A445,"FG_COMPANY_NAME")</f>
        <v>Trimble Inc.</v>
      </c>
      <c r="C445" t="s">
        <v>508</v>
      </c>
      <c r="D445" s="2" cm="1">
        <f t="array" ref="D445">_xll.FDS(A445,"JULIAN(FF_EPS(QTR_R,0).dates)")</f>
        <v>46022</v>
      </c>
      <c r="E445" cm="1">
        <f t="array" ref="E445">_xll.FDS(A445,"FF_EPS(QTR_R,0)")</f>
        <v>0.65300000000000002</v>
      </c>
      <c r="F445" cm="1">
        <f t="array" ref="F445">_xll.FDS(A445,"FE_ESTIMATE(EPS,MEAN,QTR_ROLL,-0,0,,,'')")</f>
        <v>1</v>
      </c>
    </row>
    <row r="446" spans="1:6" x14ac:dyDescent="0.45">
      <c r="A446" t="s">
        <v>443</v>
      </c>
      <c r="B446" t="str" cm="1">
        <f t="array" ref="B446">_xll.FDS(A446,"FG_COMPANY_NAME")</f>
        <v>T. Rowe Price Group, Inc.</v>
      </c>
      <c r="C446" t="s">
        <v>510</v>
      </c>
      <c r="D446" s="2" cm="1">
        <f t="array" ref="D446">_xll.FDS(A446,"JULIAN(FF_EPS(QTR_R,0).dates)")</f>
        <v>46022</v>
      </c>
      <c r="E446" cm="1">
        <f t="array" ref="E446">_xll.FDS(A446,"FF_EPS(QTR_R,0)")</f>
        <v>1.9881</v>
      </c>
      <c r="F446" cm="1">
        <f t="array" ref="F446">_xll.FDS(A446,"FE_ESTIMATE(EPS,MEAN,QTR_ROLL,-0,0,,,'')")</f>
        <v>2.44</v>
      </c>
    </row>
    <row r="447" spans="1:6" x14ac:dyDescent="0.45">
      <c r="A447" t="s">
        <v>444</v>
      </c>
      <c r="B447" t="str" cm="1">
        <f t="array" ref="B447">_xll.FDS(A447,"FG_COMPANY_NAME")</f>
        <v>Travelers Companies, Inc.</v>
      </c>
      <c r="C447" t="s">
        <v>510</v>
      </c>
      <c r="D447" s="2" cm="1">
        <f t="array" ref="D447">_xll.FDS(A447,"JULIAN(FF_EPS(QTR_R,0).dates)")</f>
        <v>46022</v>
      </c>
      <c r="E447" cm="1">
        <f t="array" ref="E447">_xll.FDS(A447,"FF_EPS(QTR_R,0)")</f>
        <v>11.058</v>
      </c>
      <c r="F447" cm="1">
        <f t="array" ref="F447">_xll.FDS(A447,"FE_ESTIMATE(EPS,MEAN,QTR_ROLL,-0,0,,,'')")</f>
        <v>11.13</v>
      </c>
    </row>
    <row r="448" spans="1:6" x14ac:dyDescent="0.45">
      <c r="A448" t="s">
        <v>445</v>
      </c>
      <c r="B448" t="str" cm="1">
        <f t="array" ref="B448">_xll.FDS(A448,"FG_COMPANY_NAME")</f>
        <v>Tractor Supply Company</v>
      </c>
      <c r="C448" t="s">
        <v>509</v>
      </c>
      <c r="D448" s="2" cm="1">
        <f t="array" ref="D448">_xll.FDS(A448,"JULIAN(FF_EPS(QTR_R,0).dates)")</f>
        <v>46022</v>
      </c>
      <c r="E448" cm="1">
        <f t="array" ref="E448">_xll.FDS(A448,"FF_EPS(QTR_R,0)")</f>
        <v>0.4289</v>
      </c>
      <c r="F448" cm="1">
        <f t="array" ref="F448">_xll.FDS(A448,"FE_ESTIMATE(EPS,MEAN,QTR_ROLL,-0,0,,,'')")</f>
        <v>0.43</v>
      </c>
    </row>
    <row r="449" spans="1:6" x14ac:dyDescent="0.45">
      <c r="A449" t="s">
        <v>446</v>
      </c>
      <c r="B449" t="str" cm="1">
        <f t="array" ref="B449">_xll.FDS(A449,"FG_COMPANY_NAME")</f>
        <v>Tesla, Inc.</v>
      </c>
      <c r="C449" t="s">
        <v>509</v>
      </c>
      <c r="D449" s="2" cm="1">
        <f t="array" ref="D449">_xll.FDS(A449,"JULIAN(FF_EPS(QTR_R,0).dates)")</f>
        <v>46022</v>
      </c>
      <c r="E449" cm="1">
        <f t="array" ref="E449">_xll.FDS(A449,"FF_EPS(QTR_R,0)")</f>
        <v>0.2374</v>
      </c>
      <c r="F449" cm="1">
        <f t="array" ref="F449">_xll.FDS(A449,"FE_ESTIMATE(EPS,MEAN,QTR_ROLL,-0,0,,,'')")</f>
        <v>0.5</v>
      </c>
    </row>
    <row r="450" spans="1:6" x14ac:dyDescent="0.45">
      <c r="A450" t="s">
        <v>447</v>
      </c>
      <c r="B450" t="str" cm="1">
        <f t="array" ref="B450">_xll.FDS(A450,"FG_COMPANY_NAME")</f>
        <v>Tyson Foods, Inc. Class A</v>
      </c>
      <c r="C450" t="s">
        <v>511</v>
      </c>
      <c r="D450" s="2" cm="1">
        <f t="array" ref="D450">_xll.FDS(A450,"JULIAN(FF_EPS(QTR_R,0).dates)")</f>
        <v>46022</v>
      </c>
      <c r="E450" cm="1">
        <f t="array" ref="E450">_xll.FDS(A450,"FF_EPS(QTR_R,0)")</f>
        <v>0.24640000000000001</v>
      </c>
      <c r="F450" cm="1">
        <f t="array" ref="F450">_xll.FDS(A450,"FE_ESTIMATE(EPS,MEAN,QTR_ROLL,-0,0,,,'')")</f>
        <v>0.97</v>
      </c>
    </row>
    <row r="451" spans="1:6" x14ac:dyDescent="0.45">
      <c r="A451" t="s">
        <v>448</v>
      </c>
      <c r="B451" t="str" cm="1">
        <f t="array" ref="B451">_xll.FDS(A451,"FG_COMPANY_NAME")</f>
        <v>Trane Technologies plc</v>
      </c>
      <c r="C451" t="s">
        <v>512</v>
      </c>
      <c r="D451" s="2" cm="1">
        <f t="array" ref="D451">_xll.FDS(A451,"JULIAN(FF_EPS(QTR_R,0).dates)")</f>
        <v>46022</v>
      </c>
      <c r="E451" cm="1">
        <f t="array" ref="E451">_xll.FDS(A451,"FF_EPS(QTR_R,0)")</f>
        <v>2.6444999999999999</v>
      </c>
      <c r="F451" cm="1">
        <f t="array" ref="F451">_xll.FDS(A451,"FE_ESTIMATE(EPS,MEAN,QTR_ROLL,-0,0,,,'')")</f>
        <v>2.86</v>
      </c>
    </row>
    <row r="452" spans="1:6" x14ac:dyDescent="0.45">
      <c r="A452" t="s">
        <v>449</v>
      </c>
      <c r="B452" t="str" cm="1">
        <f t="array" ref="B452">_xll.FDS(A452,"FG_COMPANY_NAME")</f>
        <v>Take-Two Interactive Software, Inc.</v>
      </c>
      <c r="C452" t="s">
        <v>516</v>
      </c>
      <c r="D452" s="2" cm="1">
        <f t="array" ref="D452">_xll.FDS(A452,"JULIAN(FF_EPS(QTR_R,0).dates)")</f>
        <v>46022</v>
      </c>
      <c r="E452" cm="1">
        <f t="array" ref="E452">_xll.FDS(A452,"FF_EPS(QTR_R,0)")</f>
        <v>-0.50219999999999998</v>
      </c>
      <c r="F452" cm="1">
        <f t="array" ref="F452">_xll.FDS(A452,"FE_ESTIMATE(EPS,MEAN,QTR_ROLL,-0,0,,,'')")</f>
        <v>1.2278823000000001</v>
      </c>
    </row>
    <row r="453" spans="1:6" x14ac:dyDescent="0.45">
      <c r="A453" t="s">
        <v>450</v>
      </c>
      <c r="B453" t="str" cm="1">
        <f t="array" ref="B453">_xll.FDS(A453,"FG_COMPANY_NAME")</f>
        <v>Texas Instruments Incorporated</v>
      </c>
      <c r="C453" t="s">
        <v>508</v>
      </c>
      <c r="D453" s="2" cm="1">
        <f t="array" ref="D453">_xll.FDS(A453,"JULIAN(FF_EPS(QTR_R,0).dates)")</f>
        <v>46022</v>
      </c>
      <c r="E453" cm="1">
        <f t="array" ref="E453">_xll.FDS(A453,"FF_EPS(QTR_R,0)")</f>
        <v>1.2688999999999999</v>
      </c>
      <c r="F453" cm="1">
        <f t="array" ref="F453">_xll.FDS(A453,"FE_ESTIMATE(EPS,MEAN,QTR_ROLL,-0,0,,,'')")</f>
        <v>1.27</v>
      </c>
    </row>
    <row r="454" spans="1:6" x14ac:dyDescent="0.45">
      <c r="A454" t="s">
        <v>451</v>
      </c>
      <c r="B454" t="str" cm="1">
        <f t="array" ref="B454">_xll.FDS(A454,"FG_COMPANY_NAME")</f>
        <v>Textron Inc.</v>
      </c>
      <c r="C454" t="s">
        <v>512</v>
      </c>
      <c r="D454" s="2" cm="1">
        <f t="array" ref="D454">_xll.FDS(A454,"JULIAN(FF_EPS(QTR_R,0).dates)")</f>
        <v>46022</v>
      </c>
      <c r="E454" cm="1">
        <f t="array" ref="E454">_xll.FDS(A454,"FF_EPS(QTR_R,0)")</f>
        <v>1.3268</v>
      </c>
      <c r="F454" cm="1">
        <f t="array" ref="F454">_xll.FDS(A454,"FE_ESTIMATE(EPS,MEAN,QTR_ROLL,-0,0,,,'')")</f>
        <v>1.73</v>
      </c>
    </row>
    <row r="455" spans="1:6" x14ac:dyDescent="0.45">
      <c r="A455" t="s">
        <v>452</v>
      </c>
      <c r="B455" t="str" cm="1">
        <f t="array" ref="B455">_xll.FDS(A455,"FG_COMPANY_NAME")</f>
        <v>Tyler Technologies, Inc.</v>
      </c>
      <c r="C455" t="s">
        <v>508</v>
      </c>
      <c r="D455" s="2" cm="1">
        <f t="array" ref="D455">_xll.FDS(A455,"JULIAN(FF_EPS(QTR_R,0).dates)")</f>
        <v>46022</v>
      </c>
      <c r="E455" cm="1">
        <f t="array" ref="E455">_xll.FDS(A455,"FF_EPS(QTR_R,0)")</f>
        <v>1.5049999999999999</v>
      </c>
      <c r="F455" cm="1">
        <f t="array" ref="F455">_xll.FDS(A455,"FE_ESTIMATE(EPS,MEAN,QTR_ROLL,-0,0,,,'')")</f>
        <v>2.64</v>
      </c>
    </row>
    <row r="456" spans="1:6" x14ac:dyDescent="0.45">
      <c r="A456" t="s">
        <v>453</v>
      </c>
      <c r="B456" t="str" cm="1">
        <f t="array" ref="B456">_xll.FDS(A456,"FG_COMPANY_NAME")</f>
        <v>United Airlines Holdings, Inc.</v>
      </c>
      <c r="C456" t="s">
        <v>512</v>
      </c>
      <c r="D456" s="2" cm="1">
        <f t="array" ref="D456">_xll.FDS(A456,"JULIAN(FF_EPS(QTR_R,0).dates)")</f>
        <v>46022</v>
      </c>
      <c r="E456" cm="1">
        <f t="array" ref="E456">_xll.FDS(A456,"FF_EPS(QTR_R,0)")</f>
        <v>3.1926999999999999</v>
      </c>
      <c r="F456" cm="1">
        <f t="array" ref="F456">_xll.FDS(A456,"FE_ESTIMATE(EPS,MEAN,QTR_ROLL,-0,0,,,'')")</f>
        <v>3.1</v>
      </c>
    </row>
    <row r="457" spans="1:6" x14ac:dyDescent="0.45">
      <c r="A457" t="s">
        <v>454</v>
      </c>
      <c r="B457" t="str" cm="1">
        <f t="array" ref="B457">_xll.FDS(A457,"FG_COMPANY_NAME")</f>
        <v>Uber Technologies, Inc.</v>
      </c>
      <c r="C457" t="s">
        <v>512</v>
      </c>
      <c r="D457" s="2" cm="1">
        <f t="array" ref="D457">_xll.FDS(A457,"JULIAN(FF_EPS(QTR_R,0).dates)")</f>
        <v>46022</v>
      </c>
      <c r="E457" cm="1">
        <f t="array" ref="E457">_xll.FDS(A457,"FF_EPS(QTR_R,0)")</f>
        <v>0.14199999999999999</v>
      </c>
      <c r="F457" cm="1">
        <f t="array" ref="F457">_xll.FDS(A457,"FE_ESTIMATE(EPS,MEAN,QTR_ROLL,-0,0,,,'')")</f>
        <v>0.14000000000000001</v>
      </c>
    </row>
    <row r="458" spans="1:6" x14ac:dyDescent="0.45">
      <c r="A458" t="s">
        <v>455</v>
      </c>
      <c r="B458" t="str" cm="1">
        <f t="array" ref="B458">_xll.FDS(A458,"FG_COMPANY_NAME")</f>
        <v>UDR, Inc.</v>
      </c>
      <c r="C458" t="s">
        <v>514</v>
      </c>
      <c r="D458" s="2" cm="1">
        <f t="array" ref="D458">_xll.FDS(A458,"JULIAN(FF_EPS(QTR_R,0).dates)")</f>
        <v>46022</v>
      </c>
      <c r="E458" cm="1">
        <f t="array" ref="E458">_xll.FDS(A458,"FF_EPS(QTR_R,0)")</f>
        <v>0.66649999999999998</v>
      </c>
      <c r="F458" cm="1">
        <f t="array" ref="F458">_xll.FDS(A458,"FE_ESTIMATE(EPS,MEAN,QTR_ROLL,-0,0,,,'')")</f>
        <v>0.67</v>
      </c>
    </row>
    <row r="459" spans="1:6" x14ac:dyDescent="0.45">
      <c r="A459" t="s">
        <v>456</v>
      </c>
      <c r="B459" t="str" cm="1">
        <f t="array" ref="B459">_xll.FDS(A459,"FG_COMPANY_NAME")</f>
        <v>Universal Health Services, Inc. Class B</v>
      </c>
      <c r="C459" t="s">
        <v>507</v>
      </c>
      <c r="D459" s="2" cm="1">
        <f t="array" ref="D459">_xll.FDS(A459,"JULIAN(FF_EPS(QTR_R,0).dates)")</f>
        <v>46022</v>
      </c>
      <c r="E459" cm="1">
        <f t="array" ref="E459">_xll.FDS(A459,"FF_EPS(QTR_R,0)")</f>
        <v>7.0608000000000004</v>
      </c>
      <c r="F459" cm="1">
        <f t="array" ref="F459">_xll.FDS(A459,"FE_ESTIMATE(EPS,MEAN,QTR_ROLL,-0,0,,,'')")</f>
        <v>5.88</v>
      </c>
    </row>
    <row r="460" spans="1:6" x14ac:dyDescent="0.45">
      <c r="A460" t="s">
        <v>457</v>
      </c>
      <c r="B460" t="str" cm="1">
        <f t="array" ref="B460">_xll.FDS(A460,"FG_COMPANY_NAME")</f>
        <v>Ulta Beauty Inc.</v>
      </c>
      <c r="C460" t="s">
        <v>509</v>
      </c>
      <c r="D460" s="2" cm="1">
        <f t="array" ref="D460">_xll.FDS(A460,"JULIAN(FF_EPS(QTR_R,0).dates)")</f>
        <v>46052</v>
      </c>
      <c r="E460" cm="1">
        <f t="array" ref="E460">_xll.FDS(A460,"FF_EPS(QTR_R,0)")</f>
        <v>8.0114000000000001</v>
      </c>
      <c r="F460" cm="1">
        <f t="array" ref="F460">_xll.FDS(A460,"FE_ESTIMATE(EPS,MEAN,QTR_ROLL,-0,0,,,'')")</f>
        <v>8.01</v>
      </c>
    </row>
    <row r="461" spans="1:6" x14ac:dyDescent="0.45">
      <c r="A461" t="s">
        <v>458</v>
      </c>
      <c r="B461" t="str" cm="1">
        <f t="array" ref="B461">_xll.FDS(A461,"FG_COMPANY_NAME")</f>
        <v>UnitedHealth Group Incorporated</v>
      </c>
      <c r="C461" t="s">
        <v>507</v>
      </c>
      <c r="D461" s="2" cm="1">
        <f t="array" ref="D461">_xll.FDS(A461,"JULIAN(FF_EPS(QTR_R,0).dates)")</f>
        <v>46022</v>
      </c>
      <c r="E461" cm="1">
        <f t="array" ref="E461">_xll.FDS(A461,"FF_EPS(QTR_R,0)")</f>
        <v>1.0999999999999999E-2</v>
      </c>
      <c r="F461" cm="1">
        <f t="array" ref="F461">_xll.FDS(A461,"FE_ESTIMATE(EPS,MEAN,QTR_ROLL,-0,0,,,'')")</f>
        <v>2.11</v>
      </c>
    </row>
    <row r="462" spans="1:6" x14ac:dyDescent="0.45">
      <c r="A462" t="s">
        <v>459</v>
      </c>
      <c r="B462" t="str" cm="1">
        <f t="array" ref="B462">_xll.FDS(A462,"FG_COMPANY_NAME")</f>
        <v>Union Pacific Corporation</v>
      </c>
      <c r="C462" t="s">
        <v>512</v>
      </c>
      <c r="D462" s="2" cm="1">
        <f t="array" ref="D462">_xll.FDS(A462,"JULIAN(FF_EPS(QTR_R,0).dates)")</f>
        <v>46022</v>
      </c>
      <c r="E462" cm="1">
        <f t="array" ref="E462">_xll.FDS(A462,"FF_EPS(QTR_R,0)")</f>
        <v>3.1137000000000001</v>
      </c>
      <c r="F462" cm="1">
        <f t="array" ref="F462">_xll.FDS(A462,"FE_ESTIMATE(EPS,MEAN,QTR_ROLL,-0,0,,,'')")</f>
        <v>2.86</v>
      </c>
    </row>
    <row r="463" spans="1:6" x14ac:dyDescent="0.45">
      <c r="A463" t="s">
        <v>460</v>
      </c>
      <c r="B463" t="str" cm="1">
        <f t="array" ref="B463">_xll.FDS(A463,"FG_COMPANY_NAME")</f>
        <v>United Parcel Service, Inc. Class B</v>
      </c>
      <c r="C463" t="s">
        <v>512</v>
      </c>
      <c r="D463" s="2" cm="1">
        <f t="array" ref="D463">_xll.FDS(A463,"JULIAN(FF_EPS(QTR_R,0).dates)")</f>
        <v>46022</v>
      </c>
      <c r="E463" cm="1">
        <f t="array" ref="E463">_xll.FDS(A463,"FF_EPS(QTR_R,0)")</f>
        <v>2.0996000000000001</v>
      </c>
      <c r="F463" cm="1">
        <f t="array" ref="F463">_xll.FDS(A463,"FE_ESTIMATE(EPS,MEAN,QTR_ROLL,-0,0,,,'')")</f>
        <v>2.38</v>
      </c>
    </row>
    <row r="464" spans="1:6" x14ac:dyDescent="0.45">
      <c r="A464" t="s">
        <v>461</v>
      </c>
      <c r="B464" t="str" cm="1">
        <f t="array" ref="B464">_xll.FDS(A464,"FG_COMPANY_NAME")</f>
        <v>United Rentals, Inc.</v>
      </c>
      <c r="C464" t="s">
        <v>512</v>
      </c>
      <c r="D464" s="2" cm="1">
        <f t="array" ref="D464">_xll.FDS(A464,"JULIAN(FF_EPS(QTR_R,0).dates)")</f>
        <v>46022</v>
      </c>
      <c r="E464" cm="1">
        <f t="array" ref="E464">_xll.FDS(A464,"FF_EPS(QTR_R,0)")</f>
        <v>10.267300000000001</v>
      </c>
      <c r="F464" cm="1">
        <f t="array" ref="F464">_xll.FDS(A464,"FE_ESTIMATE(EPS,MEAN,QTR_ROLL,-0,0,,,'')")</f>
        <v>11.09</v>
      </c>
    </row>
    <row r="465" spans="1:6" x14ac:dyDescent="0.45">
      <c r="A465" t="s">
        <v>462</v>
      </c>
      <c r="B465" t="str" cm="1">
        <f t="array" ref="B465">_xll.FDS(A465,"FG_COMPANY_NAME")</f>
        <v>U.S. Bancorp</v>
      </c>
      <c r="C465" t="s">
        <v>510</v>
      </c>
      <c r="D465" s="2" cm="1">
        <f t="array" ref="D465">_xll.FDS(A465,"JULIAN(FF_EPS(QTR_R,0).dates)")</f>
        <v>46022</v>
      </c>
      <c r="E465" cm="1">
        <f t="array" ref="E465">_xll.FDS(A465,"FF_EPS(QTR_R,0)")</f>
        <v>1.2627999999999999</v>
      </c>
      <c r="F465" cm="1">
        <f t="array" ref="F465">_xll.FDS(A465,"FE_ESTIMATE(EPS,MEAN,QTR_ROLL,-0,0,,,'')")</f>
        <v>1.26</v>
      </c>
    </row>
    <row r="466" spans="1:6" x14ac:dyDescent="0.45">
      <c r="A466" t="s">
        <v>463</v>
      </c>
      <c r="B466" t="str" cm="1">
        <f t="array" ref="B466">_xll.FDS(A466,"FG_COMPANY_NAME")</f>
        <v>Visa Inc. Class A</v>
      </c>
      <c r="C466" t="s">
        <v>510</v>
      </c>
      <c r="D466" s="2" cm="1">
        <f t="array" ref="D466">_xll.FDS(A466,"JULIAN(FF_EPS(QTR_R,0).dates)")</f>
        <v>46022</v>
      </c>
      <c r="E466" cm="1">
        <f t="array" ref="E466">_xll.FDS(A466,"FF_EPS(QTR_R,0)")</f>
        <v>3.0021</v>
      </c>
      <c r="F466" cm="1">
        <f t="array" ref="F466">_xll.FDS(A466,"FE_ESTIMATE(EPS,MEAN,QTR_ROLL,-0,0,,,'')")</f>
        <v>3.17</v>
      </c>
    </row>
    <row r="467" spans="1:6" x14ac:dyDescent="0.45">
      <c r="A467" t="s">
        <v>464</v>
      </c>
      <c r="B467" t="str" cm="1">
        <f t="array" ref="B467">_xll.FDS(A467,"FG_COMPANY_NAME")</f>
        <v>VICI Properties Inc</v>
      </c>
      <c r="C467" t="s">
        <v>514</v>
      </c>
      <c r="D467" s="2" cm="1">
        <f t="array" ref="D467">_xll.FDS(A467,"JULIAN(FF_EPS(QTR_R,0).dates)")</f>
        <v>46022</v>
      </c>
      <c r="E467" cm="1">
        <f t="array" ref="E467">_xll.FDS(A467,"FF_EPS(QTR_R,0)")</f>
        <v>0.56599999999999995</v>
      </c>
      <c r="F467" cm="1">
        <f t="array" ref="F467">_xll.FDS(A467,"FE_ESTIMATE(EPS,MEAN,QTR_ROLL,-0,0,,,'')")</f>
        <v>0.56999999999999995</v>
      </c>
    </row>
    <row r="468" spans="1:6" x14ac:dyDescent="0.45">
      <c r="A468" t="s">
        <v>465</v>
      </c>
      <c r="B468" t="str" cm="1">
        <f t="array" ref="B468">_xll.FDS(A468,"FG_COMPANY_NAME")</f>
        <v>Valero Energy Corporation</v>
      </c>
      <c r="C468" t="s">
        <v>515</v>
      </c>
      <c r="D468" s="2" cm="1">
        <f t="array" ref="D468">_xll.FDS(A468,"JULIAN(FF_EPS(QTR_R,0).dates)")</f>
        <v>46022</v>
      </c>
      <c r="E468" cm="1">
        <f t="array" ref="E468">_xll.FDS(A468,"FF_EPS(QTR_R,0)")</f>
        <v>3.7294</v>
      </c>
      <c r="F468" cm="1">
        <f t="array" ref="F468">_xll.FDS(A468,"FE_ESTIMATE(EPS,MEAN,QTR_ROLL,-0,0,,,'')")</f>
        <v>3.82</v>
      </c>
    </row>
    <row r="469" spans="1:6" x14ac:dyDescent="0.45">
      <c r="A469" t="s">
        <v>466</v>
      </c>
      <c r="B469" t="str" cm="1">
        <f t="array" ref="B469">_xll.FDS(A469,"FG_COMPANY_NAME")</f>
        <v>Veralto Corporation</v>
      </c>
      <c r="C469" t="s">
        <v>512</v>
      </c>
      <c r="D469" s="2" cm="1">
        <f t="array" ref="D469">_xll.FDS(A469,"JULIAN(FF_EPS(QTR_R,0).dates)")</f>
        <v>46022</v>
      </c>
      <c r="E469" cm="1">
        <f t="array" ref="E469">_xll.FDS(A469,"FF_EPS(QTR_R,0)")</f>
        <v>1.014</v>
      </c>
      <c r="F469" cm="1">
        <f t="array" ref="F469">_xll.FDS(A469,"FE_ESTIMATE(EPS,MEAN,QTR_ROLL,-0,0,,,'')")</f>
        <v>1.04</v>
      </c>
    </row>
    <row r="470" spans="1:6" x14ac:dyDescent="0.45">
      <c r="A470" t="s">
        <v>467</v>
      </c>
      <c r="B470" t="str" cm="1">
        <f t="array" ref="B470">_xll.FDS(A470,"FG_COMPANY_NAME")</f>
        <v>Vulcan Materials Company</v>
      </c>
      <c r="C470" t="s">
        <v>513</v>
      </c>
      <c r="D470" s="2" cm="1">
        <f t="array" ref="D470">_xll.FDS(A470,"JULIAN(FF_EPS(QTR_R,0).dates)")</f>
        <v>46022</v>
      </c>
      <c r="E470" cm="1">
        <f t="array" ref="E470">_xll.FDS(A470,"FF_EPS(QTR_R,0)")</f>
        <v>1.9076</v>
      </c>
      <c r="F470" cm="1">
        <f t="array" ref="F470">_xll.FDS(A470,"FE_ESTIMATE(EPS,MEAN,QTR_ROLL,-0,0,,,'')")</f>
        <v>1.7</v>
      </c>
    </row>
    <row r="471" spans="1:6" x14ac:dyDescent="0.45">
      <c r="A471" t="s">
        <v>468</v>
      </c>
      <c r="B471" t="str" cm="1">
        <f t="array" ref="B471">_xll.FDS(A471,"FG_COMPANY_NAME")</f>
        <v>Verisk Analytics, Inc.</v>
      </c>
      <c r="C471" t="s">
        <v>512</v>
      </c>
      <c r="D471" s="2" cm="1">
        <f t="array" ref="D471">_xll.FDS(A471,"JULIAN(FF_EPS(QTR_R,0).dates)")</f>
        <v>46022</v>
      </c>
      <c r="E471" cm="1">
        <f t="array" ref="E471">_xll.FDS(A471,"FF_EPS(QTR_R,0)")</f>
        <v>1.4176</v>
      </c>
      <c r="F471" cm="1">
        <f t="array" ref="F471">_xll.FDS(A471,"FE_ESTIMATE(EPS,MEAN,QTR_ROLL,-0,0,,,'')")</f>
        <v>1.82</v>
      </c>
    </row>
    <row r="472" spans="1:6" x14ac:dyDescent="0.45">
      <c r="A472" t="s">
        <v>469</v>
      </c>
      <c r="B472" t="str" cm="1">
        <f t="array" ref="B472">_xll.FDS(A472,"FG_COMPANY_NAME")</f>
        <v>VeriSign, Inc.</v>
      </c>
      <c r="C472" t="s">
        <v>508</v>
      </c>
      <c r="D472" s="2" cm="1">
        <f t="array" ref="D472">_xll.FDS(A472,"JULIAN(FF_EPS(QTR_R,0).dates)")</f>
        <v>46022</v>
      </c>
      <c r="E472" cm="1">
        <f t="array" ref="E472">_xll.FDS(A472,"FF_EPS(QTR_R,0)")</f>
        <v>2.2267999999999999</v>
      </c>
      <c r="F472" cm="1">
        <f t="array" ref="F472">_xll.FDS(A472,"FE_ESTIMATE(EPS,MEAN,QTR_ROLL,-0,0,,,'')")</f>
        <v>2.23</v>
      </c>
    </row>
    <row r="473" spans="1:6" x14ac:dyDescent="0.45">
      <c r="A473" t="s">
        <v>470</v>
      </c>
      <c r="B473" t="str" cm="1">
        <f t="array" ref="B473">_xll.FDS(A473,"FG_COMPANY_NAME")</f>
        <v>Vertex Pharmaceuticals Incorporated</v>
      </c>
      <c r="C473" t="s">
        <v>507</v>
      </c>
      <c r="D473" s="2" cm="1">
        <f t="array" ref="D473">_xll.FDS(A473,"JULIAN(FF_EPS(QTR_R,0).dates)")</f>
        <v>46022</v>
      </c>
      <c r="E473" cm="1">
        <f t="array" ref="E473">_xll.FDS(A473,"FF_EPS(QTR_R,0)")</f>
        <v>4.6509</v>
      </c>
      <c r="F473" cm="1">
        <f t="array" ref="F473">_xll.FDS(A473,"FE_ESTIMATE(EPS,MEAN,QTR_ROLL,-0,0,,,'')")</f>
        <v>5.03</v>
      </c>
    </row>
    <row r="474" spans="1:6" x14ac:dyDescent="0.45">
      <c r="A474" t="s">
        <v>471</v>
      </c>
      <c r="B474" t="str" cm="1">
        <f t="array" ref="B474">_xll.FDS(A474,"FG_COMPANY_NAME")</f>
        <v>Vistra Corp.</v>
      </c>
      <c r="C474" t="s">
        <v>505</v>
      </c>
      <c r="D474" s="2" cm="1">
        <f t="array" ref="D474">_xll.FDS(A474,"JULIAN(FF_EPS(QTR_R,0).dates)")</f>
        <v>46022</v>
      </c>
      <c r="E474" cm="1">
        <f t="array" ref="E474">_xll.FDS(A474,"FF_EPS(QTR_R,0)")</f>
        <v>0.5464</v>
      </c>
      <c r="F474" cm="1">
        <f t="array" ref="F474">_xll.FDS(A474,"FE_ESTIMATE(EPS,MEAN,QTR_ROLL,-0,0,,,'')")</f>
        <v>0.54206670000000001</v>
      </c>
    </row>
    <row r="475" spans="1:6" x14ac:dyDescent="0.45">
      <c r="A475" t="s">
        <v>472</v>
      </c>
      <c r="B475" t="str" cm="1">
        <f t="array" ref="B475">_xll.FDS(A475,"FG_COMPANY_NAME")</f>
        <v>Ventas, Inc.</v>
      </c>
      <c r="C475" t="s">
        <v>514</v>
      </c>
      <c r="D475" s="2" cm="1">
        <f t="array" ref="D475">_xll.FDS(A475,"JULIAN(FF_EPS(QTR_R,0).dates)")</f>
        <v>46022</v>
      </c>
      <c r="E475" cm="1">
        <f t="array" ref="E475">_xll.FDS(A475,"FF_EPS(QTR_R,0)")</f>
        <v>0.14599999999999999</v>
      </c>
      <c r="F475" cm="1">
        <f t="array" ref="F475">_xll.FDS(A475,"FE_ESTIMATE(EPS,MEAN,QTR_ROLL,-0,0,,,'')")</f>
        <v>0.15</v>
      </c>
    </row>
    <row r="476" spans="1:6" x14ac:dyDescent="0.45">
      <c r="A476" t="s">
        <v>473</v>
      </c>
      <c r="B476" t="str" cm="1">
        <f t="array" ref="B476">_xll.FDS(A476,"FG_COMPANY_NAME")</f>
        <v>Viatris, Inc.</v>
      </c>
      <c r="C476" t="s">
        <v>507</v>
      </c>
      <c r="D476" s="2" cm="1">
        <f t="array" ref="D476">_xll.FDS(A476,"JULIAN(FF_EPS(QTR_R,0).dates)")</f>
        <v>46022</v>
      </c>
      <c r="E476" cm="1">
        <f t="array" ref="E476">_xll.FDS(A476,"FF_EPS(QTR_R,0)")</f>
        <v>-0.29509999999999997</v>
      </c>
      <c r="F476" cm="1">
        <f t="array" ref="F476">_xll.FDS(A476,"FE_ESTIMATE(EPS,MEAN,QTR_ROLL,-0,0,,,'')")</f>
        <v>0.56999999999999995</v>
      </c>
    </row>
    <row r="477" spans="1:6" x14ac:dyDescent="0.45">
      <c r="A477" t="s">
        <v>474</v>
      </c>
      <c r="B477" t="str" cm="1">
        <f t="array" ref="B477">_xll.FDS(A477,"FG_COMPANY_NAME")</f>
        <v>Verizon Communications Inc.</v>
      </c>
      <c r="C477" t="s">
        <v>516</v>
      </c>
      <c r="D477" s="2" cm="1">
        <f t="array" ref="D477">_xll.FDS(A477,"JULIAN(FF_EPS(QTR_R,0).dates)")</f>
        <v>46022</v>
      </c>
      <c r="E477" cm="1">
        <f t="array" ref="E477">_xll.FDS(A477,"FF_EPS(QTR_R,0)")</f>
        <v>0.55289999999999995</v>
      </c>
      <c r="F477" cm="1">
        <f t="array" ref="F477">_xll.FDS(A477,"FE_ESTIMATE(EPS,MEAN,QTR_ROLL,-0,0,,,'')")</f>
        <v>1.0900000000000001</v>
      </c>
    </row>
    <row r="478" spans="1:6" x14ac:dyDescent="0.45">
      <c r="A478" t="s">
        <v>475</v>
      </c>
      <c r="B478" t="str" cm="1">
        <f t="array" ref="B478">_xll.FDS(A478,"FG_COMPANY_NAME")</f>
        <v>Westinghouse Air Brake Technologies Corporation</v>
      </c>
      <c r="C478" t="s">
        <v>512</v>
      </c>
      <c r="D478" s="2" cm="1">
        <f t="array" ref="D478">_xll.FDS(A478,"JULIAN(FF_EPS(QTR_R,0).dates)")</f>
        <v>46022</v>
      </c>
      <c r="E478" cm="1">
        <f t="array" ref="E478">_xll.FDS(A478,"FF_EPS(QTR_R,0)")</f>
        <v>1.1813</v>
      </c>
      <c r="F478" cm="1">
        <f t="array" ref="F478">_xll.FDS(A478,"FE_ESTIMATE(EPS,MEAN,QTR_ROLL,-0,0,,,'')")</f>
        <v>2.1</v>
      </c>
    </row>
    <row r="479" spans="1:6" x14ac:dyDescent="0.45">
      <c r="A479" t="s">
        <v>476</v>
      </c>
      <c r="B479" t="str" cm="1">
        <f t="array" ref="B479">_xll.FDS(A479,"FG_COMPANY_NAME")</f>
        <v>Waters Corporation</v>
      </c>
      <c r="C479" t="s">
        <v>507</v>
      </c>
      <c r="D479" s="2" cm="1">
        <f t="array" ref="D479">_xll.FDS(A479,"JULIAN(FF_EPS(QTR_R,0).dates)")</f>
        <v>46022</v>
      </c>
      <c r="E479" cm="1">
        <f t="array" ref="E479">_xll.FDS(A479,"FF_EPS(QTR_R,0)")</f>
        <v>3.7684000000000002</v>
      </c>
      <c r="F479" cm="1">
        <f t="array" ref="F479">_xll.FDS(A479,"FE_ESTIMATE(EPS,MEAN,QTR_ROLL,-0,0,,,'')")</f>
        <v>4.53</v>
      </c>
    </row>
    <row r="480" spans="1:6" x14ac:dyDescent="0.45">
      <c r="A480" t="s">
        <v>477</v>
      </c>
      <c r="B480" t="str" cm="1">
        <f t="array" ref="B480">_xll.FDS(A480,"FG_COMPANY_NAME")</f>
        <v>Walgreens Boots Alliance, Inc.</v>
      </c>
      <c r="C480" t="s">
        <v>511</v>
      </c>
      <c r="D480" s="2" cm="1">
        <f t="array" ref="D480">_xll.FDS(A480,"JULIAN(FF_EPS(QTR_R,0).dates)")</f>
        <v>45807</v>
      </c>
      <c r="E480" cm="1">
        <f t="array" ref="E480">_xll.FDS(A480,"FF_EPS(QTR_R,0)")</f>
        <v>-0.20230000000000001</v>
      </c>
      <c r="F480" t="e" cm="1">
        <f t="array" ref="F480">_xll.FDS(A480,"FE_ESTIMATE(EPS,MEAN,QTR_ROLL,-0,0,,,'')")</f>
        <v>#N/A</v>
      </c>
    </row>
    <row r="481" spans="1:6" x14ac:dyDescent="0.45">
      <c r="A481" t="s">
        <v>478</v>
      </c>
      <c r="B481" t="str" cm="1">
        <f t="array" ref="B481">_xll.FDS(A481,"FG_COMPANY_NAME")</f>
        <v>Warner Bros. Discovery, Inc. Series A</v>
      </c>
      <c r="C481" t="s">
        <v>516</v>
      </c>
      <c r="D481" s="2" cm="1">
        <f t="array" ref="D481">_xll.FDS(A481,"JULIAN(FF_EPS(QTR_R,0).dates)")</f>
        <v>46022</v>
      </c>
      <c r="E481" cm="1">
        <f t="array" ref="E481">_xll.FDS(A481,"FF_EPS(QTR_R,0)")</f>
        <v>-0.1012</v>
      </c>
      <c r="F481" cm="1">
        <f t="array" ref="F481">_xll.FDS(A481,"FE_ESTIMATE(EPS,MEAN,QTR_ROLL,-0,0,,,'')")</f>
        <v>-0.1</v>
      </c>
    </row>
    <row r="482" spans="1:6" x14ac:dyDescent="0.45">
      <c r="A482" t="s">
        <v>479</v>
      </c>
      <c r="B482" t="str" cm="1">
        <f t="array" ref="B482">_xll.FDS(A482,"FG_COMPANY_NAME")</f>
        <v>Western Digital Corporation</v>
      </c>
      <c r="C482" t="s">
        <v>508</v>
      </c>
      <c r="D482" s="2" cm="1">
        <f t="array" ref="D482">_xll.FDS(A482,"JULIAN(FF_EPS(QTR_R,0).dates)")</f>
        <v>46022</v>
      </c>
      <c r="E482" cm="1">
        <f t="array" ref="E482">_xll.FDS(A482,"FF_EPS(QTR_R,0)")</f>
        <v>4.7297000000000002</v>
      </c>
      <c r="F482" cm="1">
        <f t="array" ref="F482">_xll.FDS(A482,"FE_ESTIMATE(EPS,MEAN,QTR_ROLL,-0,0,,,'')")</f>
        <v>2.13</v>
      </c>
    </row>
    <row r="483" spans="1:6" x14ac:dyDescent="0.45">
      <c r="A483" t="s">
        <v>480</v>
      </c>
      <c r="B483" t="str" cm="1">
        <f t="array" ref="B483">_xll.FDS(A483,"FG_COMPANY_NAME")</f>
        <v>WEC Energy Group Inc</v>
      </c>
      <c r="C483" t="s">
        <v>505</v>
      </c>
      <c r="D483" s="2" cm="1">
        <f t="array" ref="D483">_xll.FDS(A483,"JULIAN(FF_EPS(QTR_R,0).dates)")</f>
        <v>46022</v>
      </c>
      <c r="E483" cm="1">
        <f t="array" ref="E483">_xll.FDS(A483,"FF_EPS(QTR_R,0)")</f>
        <v>0.97</v>
      </c>
      <c r="F483" cm="1">
        <f t="array" ref="F483">_xll.FDS(A483,"FE_ESTIMATE(EPS,MEAN,QTR_ROLL,-0,0,,,'')")</f>
        <v>1.42</v>
      </c>
    </row>
    <row r="484" spans="1:6" x14ac:dyDescent="0.45">
      <c r="A484" t="s">
        <v>481</v>
      </c>
      <c r="B484" t="str" cm="1">
        <f t="array" ref="B484">_xll.FDS(A484,"FG_COMPANY_NAME")</f>
        <v>Welltower Inc.</v>
      </c>
      <c r="C484" t="s">
        <v>514</v>
      </c>
      <c r="D484" s="2" cm="1">
        <f t="array" ref="D484">_xll.FDS(A484,"JULIAN(FF_EPS(QTR_R,0).dates)")</f>
        <v>46022</v>
      </c>
      <c r="E484" cm="1">
        <f t="array" ref="E484">_xll.FDS(A484,"FF_EPS(QTR_R,0)")</f>
        <v>-1.859</v>
      </c>
      <c r="F484" cm="1">
        <f t="array" ref="F484">_xll.FDS(A484,"FE_ESTIMATE(EPS,MEAN,QTR_ROLL,-0,0,,,'')")</f>
        <v>0.14000000000000001</v>
      </c>
    </row>
    <row r="485" spans="1:6" x14ac:dyDescent="0.45">
      <c r="A485" t="s">
        <v>482</v>
      </c>
      <c r="B485" t="str" cm="1">
        <f t="array" ref="B485">_xll.FDS(A485,"FG_COMPANY_NAME")</f>
        <v>Wells Fargo &amp; Company</v>
      </c>
      <c r="C485" t="s">
        <v>510</v>
      </c>
      <c r="D485" s="2" cm="1">
        <f t="array" ref="D485">_xll.FDS(A485,"JULIAN(FF_EPS(QTR_R,0).dates)")</f>
        <v>46022</v>
      </c>
      <c r="E485" cm="1">
        <f t="array" ref="E485">_xll.FDS(A485,"FF_EPS(QTR_R,0)")</f>
        <v>1.6189</v>
      </c>
      <c r="F485" cm="1">
        <f t="array" ref="F485">_xll.FDS(A485,"FE_ESTIMATE(EPS,MEAN,QTR_ROLL,-0,0,,,'')")</f>
        <v>1.62</v>
      </c>
    </row>
    <row r="486" spans="1:6" x14ac:dyDescent="0.45">
      <c r="A486" t="s">
        <v>483</v>
      </c>
      <c r="B486" t="str" cm="1">
        <f t="array" ref="B486">_xll.FDS(A486,"FG_COMPANY_NAME")</f>
        <v>Waste Management, Inc.</v>
      </c>
      <c r="C486" t="s">
        <v>512</v>
      </c>
      <c r="D486" s="2" cm="1">
        <f t="array" ref="D486">_xll.FDS(A486,"JULIAN(FF_EPS(QTR_R,0).dates)")</f>
        <v>46022</v>
      </c>
      <c r="E486" cm="1">
        <f t="array" ref="E486">_xll.FDS(A486,"FF_EPS(QTR_R,0)")</f>
        <v>1.8344</v>
      </c>
      <c r="F486" cm="1">
        <f t="array" ref="F486">_xll.FDS(A486,"FE_ESTIMATE(EPS,MEAN,QTR_ROLL,-0,0,,,'')")</f>
        <v>1.93</v>
      </c>
    </row>
    <row r="487" spans="1:6" x14ac:dyDescent="0.45">
      <c r="A487" t="s">
        <v>484</v>
      </c>
      <c r="B487" t="str" cm="1">
        <f t="array" ref="B487">_xll.FDS(A487,"FG_COMPANY_NAME")</f>
        <v>Williams Companies, Inc.</v>
      </c>
      <c r="C487" t="s">
        <v>515</v>
      </c>
      <c r="D487" s="2" cm="1">
        <f t="array" ref="D487">_xll.FDS(A487,"JULIAN(FF_EPS(QTR_R,0).dates)")</f>
        <v>46022</v>
      </c>
      <c r="E487" cm="1">
        <f t="array" ref="E487">_xll.FDS(A487,"FF_EPS(QTR_R,0)")</f>
        <v>0.59789999999999999</v>
      </c>
      <c r="F487" cm="1">
        <f t="array" ref="F487">_xll.FDS(A487,"FE_ESTIMATE(EPS,MEAN,QTR_ROLL,-0,0,,,'')")</f>
        <v>0.55000000000000004</v>
      </c>
    </row>
    <row r="488" spans="1:6" x14ac:dyDescent="0.45">
      <c r="A488" t="s">
        <v>485</v>
      </c>
      <c r="B488" t="str" cm="1">
        <f t="array" ref="B488">_xll.FDS(A488,"FG_COMPANY_NAME")</f>
        <v>Walmart Inc.</v>
      </c>
      <c r="C488" t="s">
        <v>511</v>
      </c>
      <c r="D488" s="2" cm="1">
        <f t="array" ref="D488">_xll.FDS(A488,"JULIAN(FF_EPS(QTR_R,0).dates)")</f>
        <v>46052</v>
      </c>
      <c r="E488" cm="1">
        <f t="array" ref="E488">_xll.FDS(A488,"FF_EPS(QTR_R,0)")</f>
        <v>0.52900000000000003</v>
      </c>
      <c r="F488" cm="1">
        <f t="array" ref="F488">_xll.FDS(A488,"FE_ESTIMATE(EPS,MEAN,QTR_ROLL,-0,0,,,'')")</f>
        <v>0.74</v>
      </c>
    </row>
    <row r="489" spans="1:6" x14ac:dyDescent="0.45">
      <c r="A489" t="s">
        <v>486</v>
      </c>
      <c r="B489" t="str" cm="1">
        <f t="array" ref="B489">_xll.FDS(A489,"FG_COMPANY_NAME")</f>
        <v>W. R. Berkley Corporation</v>
      </c>
      <c r="C489" t="s">
        <v>510</v>
      </c>
      <c r="D489" s="2" cm="1">
        <f t="array" ref="D489">_xll.FDS(A489,"JULIAN(FF_EPS(QTR_R,0).dates)")</f>
        <v>46022</v>
      </c>
      <c r="E489" cm="1">
        <f t="array" ref="E489">_xll.FDS(A489,"FF_EPS(QTR_R,0)")</f>
        <v>1.1262000000000001</v>
      </c>
      <c r="F489" cm="1">
        <f t="array" ref="F489">_xll.FDS(A489,"FE_ESTIMATE(EPS,MEAN,QTR_ROLL,-0,0,,,'')")</f>
        <v>1.1299999999999999</v>
      </c>
    </row>
    <row r="490" spans="1:6" x14ac:dyDescent="0.45">
      <c r="A490" t="s">
        <v>487</v>
      </c>
      <c r="B490" t="str" cm="1">
        <f t="array" ref="B490">_xll.FDS(A490,"FG_COMPANY_NAME")</f>
        <v>West Pharmaceutical Services, Inc.</v>
      </c>
      <c r="C490" t="s">
        <v>507</v>
      </c>
      <c r="D490" s="2" cm="1">
        <f t="array" ref="D490">_xll.FDS(A490,"JULIAN(FF_EPS(QTR_R,0).dates)")</f>
        <v>46022</v>
      </c>
      <c r="E490" cm="1">
        <f t="array" ref="E490">_xll.FDS(A490,"FF_EPS(QTR_R,0)")</f>
        <v>1.8170999999999999</v>
      </c>
      <c r="F490" cm="1">
        <f t="array" ref="F490">_xll.FDS(A490,"FE_ESTIMATE(EPS,MEAN,QTR_ROLL,-0,0,,,'')")</f>
        <v>2.04</v>
      </c>
    </row>
    <row r="491" spans="1:6" x14ac:dyDescent="0.45">
      <c r="A491" t="s">
        <v>488</v>
      </c>
      <c r="B491" t="str" cm="1">
        <f t="array" ref="B491">_xll.FDS(A491,"FG_COMPANY_NAME")</f>
        <v>Willis Towers Watson Public Limited Company</v>
      </c>
      <c r="C491" t="s">
        <v>510</v>
      </c>
      <c r="D491" s="2" cm="1">
        <f t="array" ref="D491">_xll.FDS(A491,"JULIAN(FF_EPS(QTR_R,0).dates)")</f>
        <v>46022</v>
      </c>
      <c r="E491" cm="1">
        <f t="array" ref="E491">_xll.FDS(A491,"FF_EPS(QTR_R,0)")</f>
        <v>7.5773000000000001</v>
      </c>
      <c r="F491" cm="1">
        <f t="array" ref="F491">_xll.FDS(A491,"FE_ESTIMATE(EPS,MEAN,QTR_ROLL,-0,0,,,'')")</f>
        <v>8.1199999999999992</v>
      </c>
    </row>
    <row r="492" spans="1:6" x14ac:dyDescent="0.45">
      <c r="A492" t="s">
        <v>489</v>
      </c>
      <c r="B492" t="str" cm="1">
        <f t="array" ref="B492">_xll.FDS(A492,"FG_COMPANY_NAME")</f>
        <v>Weyerhaeuser Company</v>
      </c>
      <c r="C492" t="s">
        <v>514</v>
      </c>
      <c r="D492" s="2" cm="1">
        <f t="array" ref="D492">_xll.FDS(A492,"JULIAN(FF_EPS(QTR_R,0).dates)")</f>
        <v>46022</v>
      </c>
      <c r="E492" cm="1">
        <f t="array" ref="E492">_xll.FDS(A492,"FF_EPS(QTR_R,0)")</f>
        <v>0.10249999999999999</v>
      </c>
      <c r="F492" cm="1">
        <f t="array" ref="F492">_xll.FDS(A492,"FE_ESTIMATE(EPS,MEAN,QTR_ROLL,-0,0,,,'')")</f>
        <v>-0.09</v>
      </c>
    </row>
    <row r="493" spans="1:6" x14ac:dyDescent="0.45">
      <c r="A493" t="s">
        <v>490</v>
      </c>
      <c r="B493" t="str" cm="1">
        <f t="array" ref="B493">_xll.FDS(A493,"FG_COMPANY_NAME")</f>
        <v>Wynn Resorts, Limited</v>
      </c>
      <c r="C493" t="s">
        <v>509</v>
      </c>
      <c r="D493" s="2" cm="1">
        <f t="array" ref="D493">_xll.FDS(A493,"JULIAN(FF_EPS(QTR_R,0).dates)")</f>
        <v>46022</v>
      </c>
      <c r="E493" cm="1">
        <f t="array" ref="E493">_xll.FDS(A493,"FF_EPS(QTR_R,0)")</f>
        <v>0.96309999999999996</v>
      </c>
      <c r="F493" cm="1">
        <f t="array" ref="F493">_xll.FDS(A493,"FE_ESTIMATE(EPS,MEAN,QTR_ROLL,-0,0,,,'')")</f>
        <v>1.17</v>
      </c>
    </row>
    <row r="494" spans="1:6" x14ac:dyDescent="0.45">
      <c r="A494" t="s">
        <v>491</v>
      </c>
      <c r="B494" t="str" cm="1">
        <f t="array" ref="B494">_xll.FDS(A494,"FG_COMPANY_NAME")</f>
        <v>Xcel Energy Inc.</v>
      </c>
      <c r="C494" t="s">
        <v>505</v>
      </c>
      <c r="D494" s="2" cm="1">
        <f t="array" ref="D494">_xll.FDS(A494,"JULIAN(FF_EPS(QTR_R,0).dates)")</f>
        <v>46022</v>
      </c>
      <c r="E494" cm="1">
        <f t="array" ref="E494">_xll.FDS(A494,"FF_EPS(QTR_R,0)")</f>
        <v>0.94979999999999998</v>
      </c>
      <c r="F494" cm="1">
        <f t="array" ref="F494">_xll.FDS(A494,"FE_ESTIMATE(EPS,MEAN,QTR_ROLL,-0,0,,,'')")</f>
        <v>0.96</v>
      </c>
    </row>
    <row r="495" spans="1:6" x14ac:dyDescent="0.45">
      <c r="A495" t="s">
        <v>492</v>
      </c>
      <c r="B495" t="str" cm="1">
        <f t="array" ref="B495">_xll.FDS(A495,"FG_COMPANY_NAME")</f>
        <v>Exxon Mobil Corporation</v>
      </c>
      <c r="C495" t="s">
        <v>515</v>
      </c>
      <c r="D495" s="2" cm="1">
        <f t="array" ref="D495">_xll.FDS(A495,"JULIAN(FF_EPS(QTR_R,0).dates)")</f>
        <v>46022</v>
      </c>
      <c r="E495" cm="1">
        <f t="array" ref="E495">_xll.FDS(A495,"FF_EPS(QTR_R,0)")</f>
        <v>1.534</v>
      </c>
      <c r="F495" cm="1">
        <f t="array" ref="F495">_xll.FDS(A495,"FE_ESTIMATE(EPS,MEAN,QTR_ROLL,-0,0,,,'')")</f>
        <v>1.71</v>
      </c>
    </row>
    <row r="496" spans="1:6" x14ac:dyDescent="0.45">
      <c r="A496" t="s">
        <v>493</v>
      </c>
      <c r="B496" t="str" cm="1">
        <f t="array" ref="B496">_xll.FDS(A496,"FG_COMPANY_NAME")</f>
        <v>Xylem Inc.</v>
      </c>
      <c r="C496" t="s">
        <v>512</v>
      </c>
      <c r="D496" s="2" cm="1">
        <f t="array" ref="D496">_xll.FDS(A496,"JULIAN(FF_EPS(QTR_R,0).dates)")</f>
        <v>46022</v>
      </c>
      <c r="E496" cm="1">
        <f t="array" ref="E496">_xll.FDS(A496,"FF_EPS(QTR_R,0)")</f>
        <v>1.3753</v>
      </c>
      <c r="F496" cm="1">
        <f t="array" ref="F496">_xll.FDS(A496,"FE_ESTIMATE(EPS,MEAN,QTR_ROLL,-0,0,,,'')")</f>
        <v>1.42</v>
      </c>
    </row>
    <row r="497" spans="1:6" x14ac:dyDescent="0.45">
      <c r="A497" t="s">
        <v>494</v>
      </c>
      <c r="B497" t="str" cm="1">
        <f t="array" ref="B497">_xll.FDS(A497,"FG_COMPANY_NAME")</f>
        <v>Yum! Brands, Inc.</v>
      </c>
      <c r="C497" t="s">
        <v>509</v>
      </c>
      <c r="D497" s="2" cm="1">
        <f t="array" ref="D497">_xll.FDS(A497,"JULIAN(FF_EPS(QTR_R,0).dates)")</f>
        <v>46022</v>
      </c>
      <c r="E497" cm="1">
        <f t="array" ref="E497">_xll.FDS(A497,"FF_EPS(QTR_R,0)")</f>
        <v>1.9107000000000001</v>
      </c>
      <c r="F497" cm="1">
        <f t="array" ref="F497">_xll.FDS(A497,"FE_ESTIMATE(EPS,MEAN,QTR_ROLL,-0,0,,,'')")</f>
        <v>1.73</v>
      </c>
    </row>
    <row r="498" spans="1:6" x14ac:dyDescent="0.45">
      <c r="A498" t="s">
        <v>495</v>
      </c>
      <c r="B498" t="str" cm="1">
        <f t="array" ref="B498">_xll.FDS(A498,"FG_COMPANY_NAME")</f>
        <v>Zimmer Biomet Holdings, Inc.</v>
      </c>
      <c r="C498" t="s">
        <v>507</v>
      </c>
      <c r="D498" s="2" cm="1">
        <f t="array" ref="D498">_xll.FDS(A498,"JULIAN(FF_EPS(QTR_R,0).dates)")</f>
        <v>46022</v>
      </c>
      <c r="E498" cm="1">
        <f t="array" ref="E498">_xll.FDS(A498,"FF_EPS(QTR_R,0)")</f>
        <v>0.70320000000000005</v>
      </c>
      <c r="F498" cm="1">
        <f t="array" ref="F498">_xll.FDS(A498,"FE_ESTIMATE(EPS,MEAN,QTR_ROLL,-0,0,,,'')")</f>
        <v>2.42</v>
      </c>
    </row>
    <row r="499" spans="1:6" x14ac:dyDescent="0.45">
      <c r="A499" t="s">
        <v>496</v>
      </c>
      <c r="B499" t="str" cm="1">
        <f t="array" ref="B499">_xll.FDS(A499,"FG_COMPANY_NAME")</f>
        <v>Zebra Technologies Corporation Class A</v>
      </c>
      <c r="C499" t="s">
        <v>508</v>
      </c>
      <c r="D499" s="2" cm="1">
        <f t="array" ref="D499">_xll.FDS(A499,"JULIAN(FF_EPS(QTR_R,0).dates)")</f>
        <v>46022</v>
      </c>
      <c r="E499" cm="1">
        <f t="array" ref="E499">_xll.FDS(A499,"FF_EPS(QTR_R,0)")</f>
        <v>1.3819999999999999</v>
      </c>
      <c r="F499" cm="1">
        <f t="array" ref="F499">_xll.FDS(A499,"FE_ESTIMATE(EPS,MEAN,QTR_ROLL,-0,0,,,'')")</f>
        <v>4.33</v>
      </c>
    </row>
    <row r="500" spans="1:6" x14ac:dyDescent="0.45">
      <c r="A500" t="s">
        <v>497</v>
      </c>
      <c r="B500" t="str" cm="1">
        <f t="array" ref="B500">_xll.FDS(A500,"FG_COMPANY_NAME")</f>
        <v>Zions Bancorporation NA</v>
      </c>
      <c r="C500" t="s">
        <v>510</v>
      </c>
      <c r="D500" s="2" cm="1">
        <f t="array" ref="D500">_xll.FDS(A500,"JULIAN(FF_EPS(QTR_R,0).dates)")</f>
        <v>46022</v>
      </c>
      <c r="E500" cm="1">
        <f t="array" ref="E500">_xll.FDS(A500,"FF_EPS(QTR_R,0)")</f>
        <v>1.7605</v>
      </c>
      <c r="F500" cm="1">
        <f t="array" ref="F500">_xll.FDS(A500,"FE_ESTIMATE(EPS,MEAN,QTR_ROLL,-0,0,,,'')")</f>
        <v>1.76</v>
      </c>
    </row>
    <row r="501" spans="1:6" x14ac:dyDescent="0.45">
      <c r="A501" t="s">
        <v>498</v>
      </c>
      <c r="B501" t="str" cm="1">
        <f t="array" ref="B501">_xll.FDS(A501,"FG_COMPANY_NAME")</f>
        <v>Zoetis, Inc. Class A</v>
      </c>
      <c r="C501" t="s">
        <v>507</v>
      </c>
      <c r="D501" s="2" cm="1">
        <f t="array" ref="D501">_xll.FDS(A501,"JULIAN(FF_EPS(QTR_R,0).dates)")</f>
        <v>46022</v>
      </c>
      <c r="E501" cm="1">
        <f t="array" ref="E501">_xll.FDS(A501,"FF_EPS(QTR_R,0)")</f>
        <v>1.3748</v>
      </c>
      <c r="F501" cm="1">
        <f t="array" ref="F501">_xll.FDS(A501,"FE_ESTIMATE(EPS,MEAN,QTR_ROLL,-0,0,,,'')")</f>
        <v>1.48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4625382"><![CDATA[{"ZTS^FE_ESTIMATE(EPS,MEAN,QTR_ROLL,-0,0,,,'')":1.48,"XYL^JULIAN(FF_EPS(QTR_R,0).DATES)":46022,"WST^FF_EPS(QTR_R,0)":1.8171,"WELL^FE_ESTIMATE(EPS,MEAN,QTR_ROLL,-0,0,,,'')":0.14,"ZBRA^FF_EPS(QTR_R,0)":1.382,"XYL^FF_EPS(QTR_R,0)":1.3753,"WST^FE_ESTIMATE(EPS,MEAN,QTR_ROLL,-0,0,,,'')":2.04,"WFC^JULIAN(FF_EPS(QTR_R,0).DATES)":46022,"WAT^FF_EPS(QTR_R,0)":3.7684,"VRTX^FE_ESTIMATE(EPS,MEAN,QTR_ROLL,-0,0,,,'')":5.03,"VLO^JULIAN(FF_EPS(QTR_R,0).DATES)":46022,"UNP^FF_EPS(QTR_R,0)":3.1137,"UAL^FE_ESTIMATE(EPS,MEAN,QTR_ROLL,-0,0,,,'')":3.1,"TXN^FE_ESTIMATE(EPS,MEAN,QTR_ROLL,-0,0,,,'')":1.27,"TSCO^JULIAN(FF_EPS(QTR_R,0).DATES)":46022,"TMUS^FF_EPS(QTR_R,0)":1.8821,"TER^FE_ESTIMATE(EPS,MEAN,QTR_ROLL,-0,0,,,'')":1.8,"TAP^JULIAN(FF_EPS(QTR_R,0).DATES)":46022,"SWK^FF_EPS(QTR_R,0)":1.0398,"SRE^FE_ESTIMATE(EPS,MEAN,QTR_ROLL,-0,0,,,'')":1.28,"SNA^JULIAN(FF_EPS(QTR_R,0).DATES)":46022,"SJM^JULIAN(FF_EPS(QTR_R,0).DATES)":46052,"RVTY^FF_EPS(QTR_R,0)":0.8708,"ROK^FE_ESTIMATE(EPS,MEAN,QTR_ROLL,-0,0,,,'')":2.75,"REGN^JULIAN(FF_EPS(QTR_R,0).DATES)":46022,"PYPL^FF_EPS(QTR_R,0)":1.5304,"PSA^FE_ESTIMATE(EPS,MEAN,QTR_ROLL,-0,0,,,'')":2.6,"PODD^JULIAN(FF_EPS(QTR_R,0).DATES)":46022,"PLD^FF_EPS(QTR_R,0)":1.4946,"PH^FF_EPS(QTR_R,0)":6.5964,"PEG^FE_ESTIMATE(EPS,MEAN,QTR_ROLL,-0,0,,,'')":0.72,"PAYC^JULIAN(FF_EPS(QTR_R,0).DATES)":46022,"ON^FF_EPS(QTR_R,0)":0.4519,"NWSA^FE_ESTIMATE(EPS,MEAN,QTR_ROLL,-0,0,,,'')":0.4,"NTRS^JULIAN(FF_EPS(QTR_R,0).DATES)":46022,"NKE^FF_EPS(QTR_R,0)":0.5348,"NDAQ^FE_ESTIMATE(EPS,MEAN,QTR_ROLL,-0,0,,,'')":0.96,"MTD^FE_ESTIMATE(EPS,MEAN,QTR_ROLL,-0,0,,,'')":13.36,"MSCI^JULIAN(FF_EPS(QTR_R,0).DATES)":46022,"MPC^FF_EPS(QTR_R,0)":5.1133,"MMC^FE_ESTIMATE(EPS,MEAN,QTR_ROLL,-0,0,,,'')":2.12,"MGM^JULIAN(FF_EPS(QTR_R,0).DATES)":46022,"MCK^FF_EPS(QTR_R,0)":9.5877,"MA^FE_ESTIMATE(EPS,MEAN,QTR_ROLL,-0,0,,,'')":4.76,"LUV^JULIAN(FF_EPS(QTR_R,0).DATES)":46022,"LOW^JULIAN(FF_EPS(QTR_R,0).DATES)":46052,"LHX^FF_EPS(QTR_R,0)":1.594,"LDOS^FE_ESTIMATE(EPS,MEAN,QTR_ROLL,-0,0,,,'')":2.76,"KVUE^JULIAN(FF_EPS(QTR_R,0).DATES)":46022,"KMX^FF_EPS(QTR_R,0)":0.4265,"KLAC^FE_ESTIMATE(EPS,MEAN,QTR_ROLL,-0,0,,,'')":8.85,"KHC^JULIAN(FF_EPS(QTR_R,0).DATES)":46022,"KDP^FF_EPS(QTR_R,0)":0.259,"JNPR^FE_ESTIMATE(EPS,MEAN,QTR_ROLL,-0,0,,,'')":null,"JKHY^JULIAN(FF_EPS(QTR_R,0).DATES)":46022,"JBHT^FF_EPS(QTR_R,0)":1.8959,"ITW^FE_ESTIMATE(EPS,MEAN,QTR_ROLL,-0,0,,,'')":2.72,"ISRG^JULIAN(FF_EPS(QTR_R,0).DATES)":46022,"IQV^FF_EPS(QTR_R,0)":2.9901,"INVH^FE_ESTIMATE(EPS,MEAN,QTR_ROLL,-0,0,,,'')":0.24,"INTC^JULIAN(FF_EPS(QTR_R,0).DATES)":46022,"IFF^FF_EPS(QTR_R,0)":0.07,"ICE^FE_ESTIMATE(EPS,MEAN,QTR_ROLL,-0,0,,,'')":1.71,"HWM^JULIAN(FF_EPS(QTR_R,0).DATES)":46022,"HSY^FF_EPS(QTR_R,0)":1.575,"HRL^FE_ESTIMATE(EPS,MEAN,QTR_ROLL,-0,0,,,'')":0.34,"HPE^JULIAN(FF_EPS(QTR_R,0).DATES)":46052,"HD^FF_EPS(QTR_R,0)":2.5839,"HAS^FE_ESTIMATE(EPS,MEAN,QTR_ROLL,-0,0,,,'')":1.51,"GWW^JULIAN(FF_EPS(QTR_R,0).DATES)":46022,"GPN^FF_EPS(QTR_R,0)":0.8988,"GOOG^FE_ESTIMATE(EPS,MEAN,QTR_ROLL,-0,0,,,'')":2.82,"GM^JULIAN(FF_EPS(QTR_R,0).DATES)":46022,"GIS^FF_EPS(QTR_R,0)":0.5641,"GEN^FE_ESTIMATE(EPS,MEAN,QTR_ROLL,-0,0,,,'')":0.64,"GE^JULIAN(FF_EPS(QTR_R,0).DATES)":46022,"FTV^FF_EPS(QTR_R,0)":0.5814,"XOM^FF_EPS(QTR_R,0)":1.534,"WRB^JULIAN(FF_EPS(QTR_R,0).DATES)":46022,"WFC^FE_ESTIMATE(EPS,MEAN,QTR_ROLL,-0,0,,,'')":1.62,"VTRS^FF_EPS(QTR_R,0)":-0.2951,"VRTX^FF_EPS(QTR_R,0)":4.6509,"VMC^FF_EPS(QTR_R,0)":1.9076,"VICI^FF_EPS(QTR_R,0)":0.566,"TPR^JULIAN(FF_EPS(QTR_R,0).DATES)":46022,"TJX^JULIAN(FF_EPS(QTR_R,0).DATES)":46052,"TFC^JULIAN(FF_EPS(QTR_R,0).DATES)":46022,"TECH^JULIAN(FF_EPS(QTR_R,0).DATES)":46022,"STLD^FE_ESTIMATE(EPS,MEAN,QTR_ROLL,-0,0,,,'')":1.82,"SPGI^FE_ESTIMATE(EPS,MEAN,QTR_ROLL,-0,0,,,'')":4.3,"SNPS^FE_ESTIMATE(EPS,MEAN,QTR_ROLL,-0,0,,,'')":3.77,"SLB^FE_ESTIMATE(EPS,MEAN,QTR_ROLL,-0,0,,,'')":0.78,"SEE^FE_ESTIMATE(EPS,MEAN,QTR_ROLL,-0,0,,,'')":0.77,"SBAC^FE_ESTIMATE(EPS,MEAN,QTR_ROLL,-0,0,,,'')":3.47,"RSG^FE_ESTIMATE(EPS,MEAN,QTR_ROLL,-0,0,,,'')":1.76,"ROL^FE_ESTIMATE(EPS,MEAN,QTR_ROLL,-0,0,,,'')":0.24,"PVH^FF_EPS(QTR_R,0)":0.0877,"PSA^FF_EPS(QTR_R,0)":2.5986,"PPG^FF_EPS(QTR_R,0)":1.341,"OXY^JULIAN(FF_EPS(QTR_R,0).DATES)":46022,"ORCL^JULIAN(FF_EPS(QTR_R,0).DATES)":46080,"OKE^JULIAN(FF_EPS(QTR_R,0).DATES)":46022,"NXPI^JULIAN(FF_EPS(QTR_R,0).DATES)":46022,"NVR^JULIAN(FF_EPS(QTR_R,0).DATES)":46022,"NI^FE_ESTIMATE(EPS,MEAN,QTR_ROLL,-0,0,,,'')":0.51,"NEE^FE_ESTIMATE(EPS,MEAN,QTR_ROLL,-0,0,,,'')":0.54,"NCLH^FE_ESTIMATE(EPS,MEAN,QTR_ROLL,-0,0,,,'')":0.28,"MTCH^FE_ESTIMATE(EPS,MEAN,QTR_ROLL,-0,0,,,'')":0.83,"MSFT^FE_ESTIMATE(EPS,MEAN,QTR_ROLL,-0,0,,,'')":4.14,"MRO^FE_ESTIMATE(EPS,MEAN,QTR_ROLL,-0,0,,,'')":null,"MPWR^FE_ESTIMATE(EPS,MEAN,QTR_ROLL,-0,0,,,'')":4.79,"MOH^FE_ESTIMATE(EPS,MEAN,QTR_ROLL,-0,0,,,'')":-2.75,"MAS^FF_EPS(QTR_R,0)":0.7971,"MA^FF_EPS(QTR_R,0)":4.5212,"L^FF_EPS(QTR_R,0)":1.9439,"KMB^FE_ESTIMATE(EPS,MEAN,QTR_ROLL,-0,0,,,'')":1.86,"KEY^JULIAN(FF_EPS(QTR_R,0).DATES)":46022,"JKHY^FF_EPS(QTR_R,0)":1.7216,"IRM^FE_ESTIMATE(EPS,MEAN,QTR_ROLL,-0,0,,,'')":0.61,"INVH^JULIAN(FF_EPS(QTR_R,0).DATES)":46022,"IEX^FF_EPS(QTR_R,0)":1.7152,"HUBB^FE_ESTIMATE(EPS,MEAN,QTR_ROLL,-0,0,,,'')":4.73,"HPQ^JULIAN(FF_EPS(QTR_R,0).DATES)":46052,"HBAN^FF_EPS(QTR_R,0)":0.3032,"GPN^FE_ESTIMATE(EPS,MEAN,QTR_ROLL,-0,0,,,'')":3.18,"GIS^JULIAN(FF_EPS(QTR_R,0).DATES)":46080,"GDDY^FF_EPS(QTR_R,0)":1.7998,"YUM^FE_ESTIMATE(EPS,MEAN,QTR_ROLL,-0,0,,,'')":1.73,"XEL^FF_EPS(QTR_R,0)":0.9498,"WBA^FE_ESTIMATE(EPS,MEAN,QTR_ROLL,-0,0,,,'')":null,"VZ^FF_EPS(QTR_R,0)":0.5529,"VRSK^JULIAN(FF_EPS(QTR_R,0).DATES)":46022,"VICI^FE_ESTIMATE(EPS,MEAN,QTR_ROLL,-0,0,,,'')":0.57,"URI^FF_EPS(QTR_R,0)":10.2673,"UNH^JULIAN(FF_EPS(QTR_R,0).DATES)":46022,"TXT^FE_ESTIMATE(EPS,MEAN,QTR_ROLL,-0,0,,,'')":1.73,"TMO^FE_ESTIMATE(EPS,MEAN,QTR_ROLL,-0,0,,,'')":6.57,"ZTS^JULIAN(FF_EPS(QTR_R,0).DATES)":46022,"WMB^JULIAN(FF_EPS(QTR_R,0).DATES)":46022,"WEC^FE_ESTIMATE(EPS,MEAN,QTR_ROLL,-0,0,,,'')":1.42,"WBA^FF_EPS(QTR_R,0)":-0.2023,"VST^JULIAN(FF_EPS(QTR_R,0).DATES)":46022,"VMC^FE_ESTIMATE(EPS,MEAN,QTR_ROLL,-0,0,,,'')":1.7,"URI^JULIAN(FF_EPS(QTR_R,0).DATES)":46022,"UBER^FE_ESTIMATE(EPS,MEAN,QTR_ROLL,-0,0,,,'')":0.14,"TT^FF_EPS(QTR_R,0)":2.6445,"TRGP^FE_ESTIMATE(EPS,MEAN,QTR_ROLL,-0,0,,,'')":2.5381927,"TFX^FF_EPS(QTR_R,0)":-16.1474,"TEL^JULIAN(FF_EPS(QTR_R,0).DATES)":46022,"ZION^FE_ESTIMATE(EPS,MEAN,QTR_ROLL,-0,0,,,'')":1.76,"YUM^FF_EPS(QTR_R,0)":1.9107,"XEL^JULIAN(FF_EPS(QTR_R,0).DATES)":46022,"VZ^JULIAN(FF_EPS(QTR_R,0).DATES)":46022,"VICI^JULIAN(FF_EPS(QTR_R,0).DATES)":46022,"ULTA^FE_ESTIMATE(EPS,MEAN,QTR_ROLL,-0,0,,,'')":8.01,"TXT^FF_EPS(QTR_R,0)":1.3268,"TT^JULIAN(FF_EPS(QTR_R,0).DATES)":46022,"TRV^FE_ESTIMATE(EPS,MEAN,QTR_ROLL,-0,0,,,'')":11.13,"TMO^FF_EPS(QTR_R,0)":5.2096,"TAP^FE_ESTIMATE(EPS,MEAN,QTR_ROLL,-0,0,,,'')":1.21,"STT^JULIAN(FF_EPS(QTR_R,0).DATES)":46022,"SNPS^FF_EPS(QTR_R,0)":0.3405,"SEE^JULIAN(FF_EPS(QTR_R,0).DATES)":46022,"RVTY^FE_ESTIMATE(EPS,MEAN,QTR_ROLL,-0,0,,,'')":1.7,"ROST^FF_EPS(QTR_R,0)":2.0,"RJF^JULIAN(FF_EPS(QTR_R,0).DATES)":46022,"PWR^FF_EPS(QTR_R,0)":2.0789,"PPL^JULIAN(FF_EPS(QTR_R,0).DATES)":46022,"PNW^FE_ESTIMATE(EPS,MEAN,QTR_ROLL,-0,0,,,'')":0.13,"PM^FF_EPS(QTR_R,0)":1.3704,"PKG^JULIAN(FF_EPS(QTR_R,0).DATES)":46022,"PEP^FE_ESTIMATE(EPS,MEAN,QTR_ROLL,-0,0,,,'')":2.26,"PCG^FF_EPS(QTR_R,0)":0.2921,"OMC^FE_ESTIMATE(EPS,MEAN,QTR_ROLL,-0,0,,,'')":2.59,"NUE^JULIAN(FF_EPS(QTR_R,0).DATES)":46022,"NKE^FE_ESTIMATE(EPS,MEAN,QTR_ROLL,-0,0,,,'')":0.53,"NEM^FF_EPS(QTR_R,0)":1.1892,"NDAQ^JULIAN(FF_EPS(QTR_R,0).DATES)":46022,"MRO^FF_EPS(QTR_R,0)":0.5089,"WYNN^FE_ESTIMATE(EPS,MEAN,QTR_ROLL,-0,0,,,'')":1.17,"WST^JULIAN(FF_EPS(QTR_R,0).DATES)":46022,"WM^FE_ESTIMATE(EPS,MEAN,QTR_ROLL,-0,0,,,'')":1.93,"WEC^FF_EPS(QTR_R,0)":0.97,"WBA^JULIAN(FF_EPS(QTR_R,0).DATES)":45807,"UPS^FE_ESTIMATE(EPS,MEAN,QTR_ROLL,-0,0,,,'')":2.38,"UBER^FF_EPS(QTR_R,0)":0.142,"TSN^FE_ESTIMATE(EPS,MEAN,QTR_ROLL,-0,0,,,'')":0.97,"TRGP^FF_EPS(QTR_R,0)":2.5249,"TFX^JULIAN(FF_EPS(QTR_R,0).DATES)":46022,"TECH^FE_ESTIMATE(EPS,MEAN,QTR_ROLL,-0,0,,,'')":0.46,"SYK^FF_EPS(QTR_R,0)":2.1966,"SWK^JULIAN(FF_EPS(QTR_R,0).DATES)":46022,"SPGI^FF_EPS(QTR_R,0)":3.7537,"SLB^JULIAN(FF_EPS(QTR_R,0).DATES)":46022,"ROK^JULIAN(FF_EPS(QTR_R,0).DATES)":46022,"RE^FE_ESTIMATE(EPS,MEAN,QTR_ROLL,-0,0,,,'')":13.26,"QCOM^FF_EPS(QTR_R,0)":2.7841,"PSX^JULIAN(FF_EPS(QTR_R,0).DATES)":46022,"PPG^FE_ESTIMATE(EPS,MEAN,QTR_ROLL,-0,0,,,'')":1.51,"PNW^FF_EPS(QTR_R,0)":0.126,"PM^JULIAN(FF_EPS(QTR_R,0).DATES)":46022,"PG^FE_ESTIMATE(EPS,MEAN,QTR_ROLL,-0,0,,,'')":1.88,"ORLY^FE_ESTIMATE(EPS,MEAN,QTR_ROLL,-0,0,,,'')":0.71,"O^FF_EPS(QTR_R,0)":0.3206,"NWS^JULIAN(FF_EPS(QTR_R,0).DATES)":46022,"NRG^FE_ESTIMATE(EPS,MEAN,QTR_ROLL,-0,0,,,'')":1.03,"NEM^JULIAN(FF_EPS(QTR_R,0).DATES)":46022,"MSFT^FF_EPS(QTR_R,0)":5.1552,"MO^FE_ESTIMATE(EPS,MEAN,QTR_ROLL,-0,0,,,'')":1.3,"MMC^FF_EPS(QTR_R,0)":1.6755,"META^JULIAN(FF_EPS(QTR_R,0).DATES)":46022,"MCO^FE_ESTIMATE(EPS,MEAN,QTR_ROLL,-0,0,,,'')":3.64,"MAA^FF_EPS(QTR_R,0)":0.4835,"LULU^FE_ESTIMATE(EPS,MEAN,QTR_ROLL,-0,0,,,'')":5.01,"LKQ^FF_EPS(QTR_R,0)":0.2578,"LH^JULIAN(FF_EPS(QTR_R,0).DATES)":46022,"L^JULIAN(FF_EPS(QTR_R,0).DATES)":46022,"KO^JULIAN(FF_EPS(QTR_R,0).DATES)":46022,"KMB^JULIAN(FF_EPS(QTR_R,0).DATES)":46022,"INCY^FE_ESTIMATE(EPS,MEAN,QTR_ROLL,-0,0,,,'')":1.8,"IEX^FE_ESTIMATE(EPS,MEAN,QTR_ROLL,-0,0,,,'')":2.1,"IBM^FE_ESTIMATE(EPS,MEAN,QTR_ROLL,-0,0,,,'')":4.52,"HAS^FF_EPS(QTR_R,0)":1.4137,"GS^FF_EPS(QTR_R,0)":14.0109,"GPC^FF_EPS(QTR_R,0)":-4.3879,"GNRC^FF_EPS(QTR_R,0)":-0.4196,"GL^FF_EPS(QTR_R,0)":3.293,"GEV^FF_EPS(QTR_R,0)":13.3723,"GE^FF_EPS(QTR_R,0)":2.3887,"FRT^FF_EPS(QTR_R,0)":1.4812,"FIS^FE_ESTIMATE(EPS,MEAN,QTR_ROLL,-0,0,,,'')":1.68,"FFIV^FE_ESTIMATE(EPS,MEAN,QTR_ROLL,-0,0,,,'')":4.45,"FCNCA^JULIAN(FF_EPS(QTR_R,0).DATES)":46022,"ZBH^FF_EPS(QTR_R,0)":0.7032,"XOM^JULIAN(FF_EPS(QTR_R,0).DATES)":46022,"WTW^FE_ESTIMATE(EPS,MEAN,QTR_ROLL,-0,0,,,'')":8.12,"WBD^FF_EPS(QTR_R,0)":-0.1012,"VRSK^FE_ESTIMATE(EPS,MEAN,QTR_ROLL,-0,0,,,'')":1.82,"USB^FF_EPS(QTR_R,0)":1.2628,"UNP^JULIAN(FF_EPS(QTR_R,0).DATES)":46022,"UDR^FE_ESTIMATE(EPS,MEAN,QTR_ROLL,-0,0,,,'')":0.67,"TTWO^FF_EPS(QTR_R,0)":-0.5022,"TSLA^JULIAN(FF_EPS(QTR_R,0).DATES)":46022,"TRMB^FE_ESTIMATE(EPS,MEAN,QTR_ROLL,-0,0,,,'')":1.0,"TER^JULIAN(FF_EPS(QTR_R,0).DATES)":46022,"SWKS^FF_EPS(QTR_R,0)":0.5262,"STE^JULIAN(FF_EPS(QTR_R,0).DATES)":46022,"SO^FE_ESTIMATE(EPS,MEAN,QTR_ROLL,-0,0,,,'')":0.55,"SMCI^FF_EPS(QTR_R,0)":0.603,"SBUX^JULIAN(FF_EPS(QTR_R,0).DATES)":46022,"ROL^FF_EPS(QTR_R,0)":0.2412,"QRVO^FE_ESTIMATE(EPS,MEAN,QTR_ROLL,-0,0,,,'')":2.17,"PRU^JULIAN(FF_EPS(QTR_R,0).DATES)":46022,"PNC^FE_ESTIMATE(EPS,MEAN,QTR_ROLL,-0,0,,,'')":4.88,"PH^JULIAN(FF_EPS(QTR_R,0).DATES)":46022,"PEAK^FE_ESTIMATE(EPS,MEAN,QTR_ROLL,-0,0,,,'')":0.16,"OXY^FF_EPS(QTR_R,0)":-0.0688,"ODFL^FE_ESTIMATE(EPS,MEAN,QTR_ROLL,-0,0,,,'')":1.09,"NWSA^FF_EPS(QTR_R,0)":0.3434,"NOC^FE_ESTIMATE(EPS,MEAN,QTR_ROLL,-0,0,,,'')":7.23,"NDSN^FF_EPS(QTR_R,0)":2.3764,"MSI^FE_ESTIMATE(EPS,MEAN,QTR_ROLL,-0,0,,,'')":4.59,"MRK^FF_EPS(QTR_R,0)":1.1909,"MNST^JULIAN(FF_EPS(QTR_R,0).DATES)":46022,"MKTX^FE_ESTIMATE(EPS,MEAN,QTR_ROLL,-0,0,,,'')":1.68,"MGM^FF_EPS(QTR_R,0)":1.112,"MDT^JULIAN(FF_EPS(QTR_R,0).DATES)":46052,"LYV^FF_EPS(QTR_R,0)":-1.0498,"LRCX^JULIAN(FF_EPS(QTR_R,0).DATES)":46022,"LDOS^FF_EPS(QTR_R,0)":2.5349,"KR^FF_EPS(QTR_R,0)":1.35,"KMI^FF_EPS(QTR_R,0)":0.4454,"KIM^FF_EPS(QTR_R,0)":0.2121,"KEY^FF_EPS(QTR_R,0)":0.4294,"JPM^FF_EPS(QTR_R,0)":4.6302,"JBHT^JULIAN(FF_EPS(QTR_R,0).DATES)":46022,"ITW^JULIAN(FF_EPS(QTR_R,0).DATES)":46022,"IRM^JULIAN(FF_EPS(QTR_R,0).DATES)":46022,"IPG^JULIAN(FF_EPS(QTR_R,0).DATES)":45930,"INTU^JULIAN(FF_EPS(QTR_R,0).DATES)":46052,"ILMN^JULIAN(FF_EPS(QTR_R,0).DATES)":46022,"IDXX^JULIAN(FF_EPS(QTR_R,0).DATES)":46022,"FOX^FE_ESTIMATE(EPS,MEAN,QTR_ROLL,-0,0,,,'')":0.82,"FICO^JULIAN(FF_EPS(QTR_R,0).DATES)":46022,"FCX^FF_EPS(QTR_R,0)":0.2814,"EXPE^FE_ESTIMATE(EPS,MEAN,QTR_ROLL,-0,0,,,'')":3.78,"ETR^JULIAN(FF_EPS(QTR_R,0).DATES)":46022,"ES^JULIAN(FF_EPS(QTR_R,0).DATES)":46022,"ENPH^FF_EPS(QTR_R,0)":0.2956,"ED^FE_ESTIMATE(EPS,MEAN,QTR_ROLL,-0,0,,,'')":0.89,"DVN^JULIAN(FF_EPS(QTR_R,0).DATES)":46022,"DOW^FF_EPS(QTR_R,0)":-2.1512,"DGX^FE_ESTIMATE(EPS,MEAN,QTR_ROLL,-0,0,,,'')":2.42,"DD^JULIAN(FF_EPS(QTR_R,0).DATES)":46022,"CVS^FF_EPS(QTR_R,0)":2.3046,"CTRA^FF_EPS(QTR_R,0)":0.4817,"CRWD^FE_ESTIMATE(EPS,MEAN,QTR_ROLL,-0,0,,,'')":1.12,"CPB^JULIAN(FF_EPS(QTR_R,0).DATES)":46052,"COF^FF_EPS(QTR_R,0)":3.2568,"CME^FE_ESTIMATE(EPS,MEAN,QTR_ROLL,-0,0,,,'')":2.77,"CINF^JULIAN(FF_EPS(QTR_R,0).DATES)":46022,"CF^FF_EPS(QTR_R,0)":2.5881,"CCL^FE_ESTIMATE(EPS,MEAN,QTR_ROLL,-0,0,,,'')":0.2,"CBOE^FE_ESTIMATE(EPS,MEAN,QTR_ROLL,-0,0,,,'')":3.06,"CAG^JULIAN(FF_EPS(QTR_R,0).DATES)":45989,"BRO^FF_EPS(QTR_R,0)":0.59,"BKR^FE_ESTIMATE(EPS,MEAN,QTR_ROLL,-0,0,,,'')":0.78,"BG^JULIAN(FF_EPS(QTR_R,0).DATES)":46022,"BAX^FF_EPS(QTR_R,0)":-2.1595,"AVY^FE_ESTIMATE(EPS,MEAN,QTR_ROLL,-0,0,,,'')":2.45,"ARE^JULIAN(FF_EPS(QTR_R,0).DATES)":46022,"APD^JULIAN(FF_EPS(QTR_R,0).DATES)":46022,"AMZN^FF_EPS(QTR_R,0)":1.9508,"AMCR^FE_ESTIMATE(EPS,MEAN,QTR_ROLL,-0,0,,,'')":0.86,"ALB^JULIAN(FF_EPS(QTR_R,0).DATES)":46022,"AES^FF_EPS(QTR_R,0)":0.4591,"ADI^FE_ESTIMATE(EPS,MEAN,QTR_ROLL,-0,0,,,'')":2.46,"ABNB^JULIAN(FF_EPS(QTR_R,0).DATES)":46022,"XEL^FG_COMPANY_NAME":"Xcel Energy Inc.","WFC^FG_COMPANY_NAME":"Wells Fargo & Company","VLO^FG_COMPANY_NAME":"Valero Energy Corporation","TT^FG_COMPANY_NAME":"Trane Technologies plc","TECH^FG_COMPANY_NAME":"Bio-Techne Corporation","SPG^FG_COMPANY_NAME":"Simon Property Group, Inc.","ROL^FG_COMPANY_NAME":"Rollins, Inc.","RE^FG_COMPANY_NAME":"Everest Group, Ltd.","PTC^FG_COMPANY_NAME":"PTC Inc.","PNW^FG_COMPANY_NAME":"Pinnacle West Capital Corp","PH^FG_COMPANY_NAME":"Parker-Hannifin Corporation","PCG^FG_COMPANY_NAME":"PG&E Corporation","ORCL^FG_COMPANY_NAME":"Oracle Corporation","NWS^FG_COMPANY_NAME":"News Corporation Class B","NOW^FG_COMPANY_NAME":"ServiceNow, Inc.","NDAQ^FG_COMPANY_NAME":"Nasdaq, Inc.","MSCI^FG_COMPANY_NAME":"MSCI Inc. Class A","MOH^FG_COMPANY_NAME":"Molina Healthcare, Inc.","MHK^FG_COMPANY_NAME":"Mohawk Industries, Inc.","MCHP^FG_COMPANY_NAME":"Microchip Technology Incorporated","LW^FG_COMPANY_NAME":"Lamb Weston Holdings, Inc.","LLY^FG_COMPANY_NAME":"Eli Lilly and Company","KVUE^FG_COMPANY_NAME":"Kenvue, Inc.","KHC^FG_COMPANY_NAME":"Kraft Heinz Company","JKHY^FG_COMPANY_NAME":"Jack Henry & Associates, Inc.","ISRG^FG_COMPANY_NAME":"Intuitive Surgical, Inc.","INTC^FG_COMPANY_NAME":"Intel Corporation","HWM^FG_COMPANY_NAME":"Howmet Aerospace Inc.","HPE^FG_COMPANY_NAME":"Hewlett Packard Enterprise Co.","GWW^FG_COMPANY_NAME":"W.W. Grainger, Inc.","GM^FG_COMPANY_NAME":"General Motors Company","GE^FG_COMPANY_NAME":"GE Aerospace","FOX^FG_COMPANY_NAME":"Fox Corporation Class B","FE^FG_COMPANY_NAME":"FirstEnergy Corp.","EXR^FG_COMPANY_NAME":"Extra Space Storage Inc.","ESS^FG_COMPANY_NAME":"Essex Property Trust, Inc.","EMR^FG_COMPANY_NAME":"Emerson Electric Co.","EA^FG_COMPANY_NAME":"Electronic Arts Inc.","DOW^FG_COMPANY_NAME":"Dow, Inc.","DFS^FG_COMPANY_NAME":"Discover Financial Services","CVX^FG_COMPANY_NAME":"Chevron Corporation","CSGP^FG_COMPANY_NAME":"CoStar Group, Inc.","CPAY^FG_COMPANY_NAME":"Corpay, Inc.","CMS^FG_COMPANY_NAME":"CMS Energy Corporation","CINF^FG_COMPANY_NAME":"Cincinnati Financial Corporation","CE^FG_COMPANY_NAME":"Celanese Corporation","VRSN^JULIAN(FF_EPS(QTR_R,0).DATES)":46022,"V^FE_ESTIMATE(EPS,MEAN,QTR_ROLL,-0,0,,,'')":3.17,"UNP^FE_ESTIMATE(EPS,MEAN,QTR_ROLL,-0,0,,,'')":2.86,"UDR^JULIAN(FF_EPS(QTR_R,0).DATES)":46022,"TXN^JULIAN(FF_EPS(QTR_R,0).DATES)":46022,"TSCO^FE_ESTIMATE(EPS,MEAN,QTR_ROLL,-0,0,,,'')":0.43,"TPR^FE_ESTIMATE(EPS,MEAN,QTR_ROLL,-0,0,,,'')":2.69,"TGT^JULIAN(FF_EPS(QTR_R,0).DATES)":46052,"SWKS^FE_ESTIMATE(EPS,MEAN,QTR_ROLL,-0,0,,,'')":1.54,"SNA^FE_ESTIMATE(EPS,MEAN,QTR_ROLL,-0,0,,,'')":4.94,"SHW^FE_ESTIMATE(EPS,MEAN,QTR_ROLL,-0,0,,,'')":2.23,"RMD^FE_ESTIMATE(EPS,MEAN,QTR_ROLL,-0,0,,,'')":2.81,"POOL^FE_ESTIMATE(EPS,MEAN,QTR_ROLL,-0,0,,,'')":0.84,"PNR^JULIAN(FF_EPS(QTR_R,0).DATES)":46022,"PGR^JULIAN(FF_EPS(QTR_R,0).DATES)":46022,"PCAR^JULIAN(FF_EPS(QTR_R,0).DATES)":46022,"ON^JULIAN(FF_EPS(QTR_R,0).DATES)":46022,"NTAP^JULIAN(FF_EPS(QTR_R,0).DATES)":46052,"NCLH^JULIAN(FF_EPS(QTR_R,0).DATES)":46022,"MTB^FF_EPS(QTR_R,0)":4.6711,"MPWR^FF_EPS(QTR_R,0)":3.4603,"MO^FF_EPS(QTR_R,0)":0.6643,"MDT^FE_ESTIMATE(EPS,MEAN,QTR_ROLL,-0,0,,,'')":1.36,"MCHP^FE_ESTIMATE(EPS,MEAN,QTR_ROLL,-0,0,,,'')":0.44,"MAR^JULIAN(FF_EPS(QTR_R,0).DATES)":46022,"LIN^FF_EPS(QTR_R,0)":3.2643,"KHC^FF_EPS(QTR_R,0)":0.5484,"K^FE_ESTIMATE(EPS,MEAN,QTR_ROLL,-0,0,,,'')":0.93,"JNJ^FF_EPS(QTR_R,0)":2.0976,"JBL^JULIAN(FF_EPS(QTR_R,0).DATES)":46080,"ITW^FF_EPS(QTR_R,0)":2.7223,"IBM^JULIAN(FF_EPS(QTR_R,0).DATES)":46022,"HSY^FE_ESTIMATE(EPS,MEAN,QTR_ROLL,-0,0,,,'')":1.71,"HOLX^FE_ESTIMATE(EPS,MEAN,QTR_ROLL,-0,0,,,'')":1.04,"GS^FE_ESTIMATE(EPS,MEAN,QTR_ROLL,-0,0,,,'')":14.01,"GD^FF_EPS(QTR_R,0)":4.1731,"FSLR^JULIAN(FF_EPS(QTR_R,0).DATES)":46022,"FIS^FF_EPS(QTR_R,0)":0.9846,"FDS^JULIAN(FF_EPS(QTR_R,0).DATES)":45989,"EW^FF_EPS(QTR_R,0)":0.1104,"ETN^FF_EPS(QTR_R,0)":2.9063,"EQT^FF_EPS(QTR_R,0)":1.0769,"EPAM^FF_EPS(QTR_R,0)":1.976,"EMR^FF_EPS(QTR_R,0)":1.0725,"EIX^FF_EPS(QTR_R,0)":4.8001,"ECL^FF_EPS(QTR_R,0)":1.9842,"DXCM^FF_EPS(QTR_R,0)":0.6761,"D^JULIAN(FF_EPS(QTR_R,0).DATES)":46022,"CNC^FE_ESTIMATE(EPS,MEAN,QTR_ROLL,-0,0,,,'')":-1.19,"CMG^FE_ESTIMATE(EPS,MEAN,QTR_ROLL,-0,0,,,'')":0.25,"ZTS^FF_EPS(QTR_R,0)":1.3748,"WTW^FF_EPS(QTR_R,0)":7.5773,"WM^JULIAN(FF_EPS(QTR_R,0).DATES)":46022,"VTRS^JULIAN(FF_EPS(QTR_R,0).DATES)":46022,"TSCO^FF_EPS(QTR_R,0)":0.4289,"TECH^FF_EPS(QTR_R,0)":0.2421,"T^FF_EPS(QTR_R,0)":0.5283,"STT^FE_ESTIMATE(EPS,MEAN,QTR_ROLL,-0,0,,,'')":2.97,"ROST^FE_ESTIMATE(EPS,MEAN,QTR_ROLL,-0,0,,,'')":2.0,"REGN^FE_ESTIMATE(EPS,MEAN,QTR_ROLL,-0,0,,,'')":11.44,"PWR^FE_ESTIMATE(EPS,MEAN,QTR_ROLL,-0,0,,,'')":3.16,"PKG^FE_ESTIMATE(EPS,MEAN,QTR_ROLL,-0,0,,,'')":2.32,"OTIS^FE_ESTIMATE(EPS,MEAN,QTR_ROLL,-0,0,,,'')":1.03,"NXPI^FE_ESTIMATE(EPS,MEAN,QTR_ROLL,-0,0,,,'')":3.35,"NVDA^FE_ESTIMATE(EPS,MEAN,QTR_ROLL,-0,0,,,'')":1.62,"NSC^FE_ESTIMATE(EPS,MEAN,QTR_ROLL,-0,0,,,'')":3.22,"NOC^JULIAN(FF_EPS(QTR_R,0).DATES)":46022,"MTB^JULIAN(FF_EPS(QTR_R,0).DATES)":46022,"MS^JULIAN(FF_EPS(QTR_R,0).DATES)":46022,"MPWR^JULIAN(FF_EPS(QTR_R,0).DATES)":46022,"MLM^FE_ESTIMATE(EPS,MEAN,QTR_ROLL,-0,0,,,'')":3.85,"MHK^JULIAN(FF_EPS(QTR_R,0).DATES)":46022,"MDT^FF_EPS(QTR_R,0)":0.8864,"MCHP^FF_EPS(QTR_R,0)":0.064,"LYB^FF_EPS(QTR_R,0)":-0.4441,"LULU^FF_EPS(QTR_R,0)":5.0076,"LMT^FE_ESTIMATE(EPS,MEAN,QTR_ROLL,-0,0,,,'')":5.8,"KR^JULIAN(FF_EPS(QTR_R,0).DATES)":46052,"IR^FE_ESTIMATE(EPS,MEAN,QTR_ROLL,-0,0,,,'')":0.96,"IP^FF_EPS(QTR_R,0)":-4.5152,"HRL^JULIAN(FF_EPS(QTR_R,0).DATES)":46052,"HBAN^JULIAN(FF_EPS(QTR_R,0).DATES)":46022,"GPC^JULIAN(FF_EPS(QTR_R,0).DATES)":46022,"GM^FE_ESTIMATE(EPS,MEAN,QTR_ROLL,-0,0,,,'')":2.51,"GEHC^FE_ESTIMATE(EPS,MEAN,QTR_ROLL,-0,0,,,'')":1.44,"FMC^FE_ESTIMATE(EPS,MEAN,QTR_ROLL,-0,0,,,'')":1.2,"FFIV^JULIAN(FF_EPS(QTR_R,0).DATES)":46022,"FANG^FE_ESTIMATE(EPS,MEAN,QTR_ROLL,-0,0,,,'')":1.74,"EXPE^FF_EPS(QTR_R,0)":1.5986,"DXCM^JULIAN(FF_EPS(QTR_R,0).DATES)":46022,"DUK^JULIAN(FF_EPS(QTR_R,0).DATES)":46022,"DPZ^JULIAN(FF_EPS(QTR_R,0).DATES)":46022,"DLTR^JULIAN(FF_EPS(QTR_R,0).DATES)":46052,"DHI^JULIAN(FF_EPS(QTR_R,0).DATES)":46022,"DFS^JULIAN(FF_EPS(QTR_R,0).DATES)":45747,"CZR^FE_ESTIMATE(EPS,MEAN,QTR_ROLL,-0,0,,,'')":-1.23,"ZION^FF_EPS(QTR_R,0)":1.7605,"XOM^FE_ESTIMATE(EPS,MEAN,QTR_ROLL,-0,0,,,'')":1.71,"WTW^JULIAN(FF_EPS(QTR_R,0).DATES)":46022,"WBD^JULIAN(FF_EPS(QTR_R,0).DATES)":46022,"V^FF_EPS(QTR_R,0)":3.0021,"UBER^JULIAN(FF_EPS(QTR_R,0).DATES)":46022,"TTWO^FE_ESTIMATE(EPS,MEAN,QTR_ROLL,-0,0,,,'')":1.2278823,"TRV^FF_EPS(QTR_R,0)":11.058,"TPR^FF_EPS(QTR_R,0)":2.6753999999999998,"TFX^FE_ESTIMATE(EPS,MEAN,QTR_ROLL,-0,0,,,'')":1.93,"STT^FF_EPS(QTR_R,0)":2.4157,"SPGI^JULIAN(FF_EPS(QTR_R,0).DATES)":46022,"SNA^FF_EPS(QTR_R,0)":4.9375,"SHW^FF_EPS(QTR_R,0)":1.9164,"SBAC^FF_EPS(QTR_R,0)":3.472,"ROST^JULIAN(FF_EPS(QTR_R,0).DATES)":46052,"RMD^FF_EPS(QTR_R,0)":2.6822,"REGN^FF_EPS(QTR_R,0)":7.8567,"QRVO^FF_EPS(QTR_R,0)":1.7533,"POOL^FF_EPS(QTR_R,0)":0.8526,"PG^FF_EPS(QTR_R,0)":1.7818,"PEG^FF_EPS(QTR_R,0)":0.6287,"PAYX^FE_ESTIMATE(EPS,MEAN,QTR_ROLL,-0,0,,,'')":1.71,"OMC^FF_EPS(QTR_R,0)":-4.02,"NEE^FF_EPS(QTR_R,0)":0.7348,"MU^FE_ESTIMATE(EPS,MEAN,QTR_ROLL,-0,0,,,'')":12.2,"MPC^FE_ESTIMATE(EPS,MEAN,QTR_ROLL,-0,0,,,'')":4.07,"MO^JULIAN(FF_EPS(QTR_R,0).DATES)":46022,"MAA^FE_ESTIMATE(EPS,MEAN,QTR_ROLL,-0,0,,,'')":0.48,"LYB^JULIAN(FF_EPS(QTR_R,0).DATES)":46022,"LULU^JULIAN(FF_EPS(QTR_R,0).DATES)":46052,"LIN^JULIAN(FF_EPS(QTR_R,0).DATES)":46022,"KMB^FF_EPS(QTR_R,0)":1.4981,"KEYS^FE_ESTIMATE(EPS,MEAN,QTR_ROLL,-0,0,,,'')":2.17,"K^FF_EPS(QTR_R,0)":0.8829,"JNJ^JULIAN(FF_EPS(QTR_R,0).DATES)":46022,"JBHT^FE_ESTIMATE(EPS,MEAN,QTR_ROLL,-0,0,,,'')":1.9,"IEX^JULIAN(FF_EPS(QTR_R,0).DATES)":46022,"HWM^FE_ESTIMATE(EPS,MEAN,QTR_ROLL,-0,0,,,'')":1.05,"HPQ^FE_ESTIMATE(EPS,MEAN,QTR_ROLL,-0,0,,,'')":0.81,"HOLX^FF_EPS(QTR_R,0)":0.7929,"GEHC^FF_EPS(QTR_R,0)":1.2888,"GD^JULIAN(FF_EPS(QTR_R,0).DATES)":46022,"FRT^FE_ESTIMATE(EPS,MEAN,QTR_ROLL,-0,0,,,'')":1.48,"FMC^FF_EPS(QTR_R,0)":-13.778,"FIS^JULIAN(FF_EPS(QTR_R,0).DATES)":46022,"FCX^FE_ESTIMATE(EPS,MEAN,QTR_ROLL,-0,0,,,'')":0.47,"FANG^FF_EPS(QTR_R,0)":-5.0807,"EXPE^JULIAN(FF_EPS(QTR_R,0).DATES)":46022,"EW^JULIAN(FF_EPS(QTR_R,0).DATES)":46022,"ETN^JULIAN(FF_EPS(QTR_R,0).DATES)":46022,"EQT^JULIAN(FF_EPS(QTR_R,0).DATES)":46022,"EPAM^JULIAN(FF_EPS(QTR_R,0).DATES)":46022,"EMR^JULIAN(FF_EPS(QTR_R,0).DATES)":46022,"EIX^JULIAN(FF_EPS(QTR_R,0).DATES)":46022,"ECL^JULIAN(FF_EPS(QTR_R,0).DATES)":46022,"DECK^FE_ESTIMATE(EPS,MEAN,QTR_ROLL,-0,0,,,'')":3.33,"DAY^FE_ESTIMATE(EPS,MEAN,QTR_ROLL,-0,0,,,'')":0.37,"WAT^JULIAN(FF_EPS(QTR_R,0).DATES)":46022,"VST^FE_ESTIMATE(EPS,MEAN,QTR_ROLL,-0,0,,,'')":0.5420667,"TDY^JULIAN(FF_EPS(QTR_R,0).DATES)":46022,"SYY^JULIAN(FF_EPS(QTR_R,0).DATES)":46022,"STZ^FE_ESTIMATE(EPS,MEAN,QTR_ROLL,-0,0,,,'')":3.06,"SMCI^JULIAN(FF_EPS(QTR_R,0).DATES)":46022,"RL^JULIAN(FF_EPS(QTR_R,0).DATES)":46022,"WYNN^FF_EPS(QTR_R,0)":0.9631,"WMB^FE_ESTIMATE(EPS,MEAN,QTR_ROLL,-0,0,,,'')":0.55,"VLO^FE_ESTIMATE(EPS,MEAN,QTR_ROLL,-0,0,,,'')":3.82,"UNH^FE_ESTIMATE(EPS,MEAN,QTR_ROLL,-0,0,,,'')":2.11,"TYL^FE_ESTIMATE(EPS,MEAN,QTR_ROLL,-0,0,,,'')":2.64,"TSLA^FE_ESTIMATE(EPS,MEAN,QTR_ROLL,-0,0,,,'')":0.5,"SWKS^JULIAN(FF_EPS(QTR_R,0).DATES)":46022,"STE^FE_ESTIMATE(EPS,MEAN,QTR_ROLL,-0,0,,,'')":2.53,"SHW^JULIAN(FF_EPS(QTR_R,0).DATES)":46022,"RTX^FE_ESTIMATE(EPS,MEAN,QTR_ROLL,-0,0,,,'')":1.55,"PTC^FE_ESTIMATE(EPS,MEAN,QTR_ROLL,-0,0,,,'')":1.92,"PFG^JULIAN(FF_EPS(QTR_R,0).DATES)":46022,"PCG^JULIAN(FF_EPS(QTR_R,0).DATES)":46022,"OXY^FE_ESTIMATE(EPS,MEAN,QTR_ROLL,-0,0,,,'')":0.31,"OMC^JULIAN(FF_EPS(QTR_R,0).DATES)":46022,"META^FF_EPS(QTR_R,0)":8.8764,"MCO^JULIAN(FF_EPS(QTR_R,0).DATES)":46022,"MAR^FF_EPS(QTR_R,0)":1.6518,"LW^FF_EPS(QTR_R,0)":0.4448,"LKQ^FE_ESTIMATE(EPS,MEAN,QTR_ROLL,-0,0,,,'')":0.59,"LEN^FF_EPS(QTR_R,0)":0.9384,"KO^FE_ESTIMATE(EPS,MEAN,QTR_ROLL,-0,0,,,'')":0.58,"KLAC^FF_EPS(QTR_R,0)":8.7271,"IT^FF_EPS(QTR_R,0)":3.3578,"IFF^JULIAN(FF_EPS(QTR_R,0).DATES)":46022,"HWM^FF_EPS(QTR_R,0)":0.9208,"HCA^JULIAN(FF_EPS(QTR_R,0).DATES)":46022,"GS^JULIAN(FF_EPS(QTR_R,0).DATES)":46022,"GD^FE_ESTIMATE(EPS,MEAN,QTR_ROLL,-0,0,,,'')":4.17,"FRT^JULIAN(FF_EPS(QTR_R,0).DATES)":46022,"FI^FF_EPS(QTR_R,0)":1.5102,"FDS^FF_EPS(QTR_R,0)":4.0564,"FANG^JULIAN(FF_EPS(QTR_R,0).DATES)":46022,"ETR^FE_ESTIMATE(EPS,MEAN,QTR_ROLL,-0,0,,,'')":0.51,"EMN^FF_EPS(QTR_R,0)":0.9138,"EA^JULIAN(FF_EPS(QTR_R,0).DATES)":46022,"DUK^FF_EPS(QTR_R,0)":1.5026,"DHR^FE_ESTIMATE(EPS,MEAN,QTR_ROLL,-0,0,,,'')":2.23,"DG^JULIAN(FF_EPS(QTR_R,0).DATES)":46052,"CSCO^JULIAN(FF_EPS(QTR_R,0).DATES)":46052,"CPAY^FF_EPS(QTR_R,0)":3.7717,"CNP^JULIAN(FF_EPS(QTR_R,0).DATES)":46022,"CDW^FF_EPS(QTR_R,0)":2.1401,"BKNG^JULIAN(FF_EPS(QTR_R,0).DATES)":46022,"BIIB^JULIAN(FF_EPS(QTR_R,0).DATES)":46022,"BEN^JULIAN(FF_EPS(QTR_R,0).DATES)":46022,"BBWI^JULIAN(FF_EPS(QTR_R,0).DATES)":46052,"BA^JULIAN(FF_EPS(QTR_R,0).DATES)":46022,"AWK^JULIAN(FF_EPS(QTR_R,0).DATES)":46022,"AVB^JULIAN(FF_EPS(QTR_R,0).DATES)":46022,"APTV^FE_ESTIMATE(EPS,MEAN,QTR_ROLL,-0,0,,,'')":1.86,"APA^FE_ESTIMATE(EPS,MEAN,QTR_ROLL,-0,0,,,'')":0.91,"ANSS^FE_ESTIMATE(EPS,MEAN,QTR_ROLL,-0,0,,,'')":null,"AMT^FE_ESTIMATE(EPS,MEAN,QTR_ROLL,-0,0,,,'')":1.75,"AME^FE_ESTIMATE(EPS,MEAN,QTR_ROLL,-0,0,,,'')":2.01,"AMAT^FE_ESTIMATE(EPS,MEAN,QTR_ROLL,-0,0,,,'')":2.38,"ALGN^FE_ESTIMATE(EPS,MEAN,QTR_ROLL,-0,0,,,'')":3.29,"AJG^FE_ESTIMATE(EPS,MEAN,QTR_ROLL,-0,0,,,'')":2.38,"STLD^FG_COMPANY_NAME":"Steel Dynamics, Inc.","SLB^FG_COMPANY_NAME":"SLB Limited","RSG^FG_COMPANY_NAME":"Republic Services, Inc.","PWR^FG_COMPANY_NAME":"Quanta Services, Inc.","PHM^FG_COMPANY_NAME":"PulteGroup, Inc.","NVR^FG_COMPANY_NAME":"NVR, Inc.","MU^FG_COMPANY_NAME":"Micron Technology, Inc.","MMM^FG_COMPANY_NAME":"3M Company","MAA^FG_COMPANY_NAME":"Mid-America Apartment Communities, Inc.","LEN^FG_COMPANY_NAME":"Lennar Corporation Class A","JNPR^FG_COMPANY_NAME":"Juniper Networks, Inc.","INTU^FG_COMPANY_NAME":"Intuit Inc.","GS^FG_COMPANY_NAME":"Goldman Sachs Group, Inc.","GD^FG_COMPANY_NAME":"General Dynamics Corporation","FCX^FG_COMPANY_NAME":"Freeport-McMoRan, Inc.","EQIX^FG_COMPANY_NAME":"Equinix, Inc.","DTE^FG_COMPANY_NAME":"DTE Energy Company","D^FG_COMPANY_NAME":"Dominion Energy Inc","CPB^FG_COMPANY_NAME":"Campbell's Company","CDW^FG_COMPANY_NAME":"CDW Corporation","CAT^FG_COMPANY_NAME":"Caterpillar Inc.","BSX^FG_COMPANY_NAME":"Boston Scientific Corporation","BKNG^FG_COMPANY_NAME":"Booking Holdings Inc.","BBY^FG_COMPANY_NAME":"Best Buy Co., Inc.","AVY^FG_COMPANY_NAME":"Avery Dennison Corporation","APD^FG_COMPANY_NAME":"Air Products and Chemicals, Inc.","AMP^FG_COMPANY_NAME":"Ameriprise Financial, Inc.","ALGN^FG_COMPANY_NAME":"Align Technology, Inc.","AEP^FG_COMPANY_NAME":"American Electric Power Company, Inc.","ACGL^FG_COMPANY_NAME":"Arch Capital Group Ltd.","ZION^JULIAN(FF_EPS(QTR_R,0).DATES)":46022,"WYNN^JULIAN(FF_EPS(QTR_R,0).DATES)":46022,"WMB^FF_EPS(QTR_R,0)":0.5979,"VST^FF_EPS(QTR_R,0)":0.5464,"VLO^FF_EPS(QTR_R,0)":3.7294,"TYL^FF_EPS(QTR_R,0)":1.505,"TMUS^FE_ESTIMATE(EPS,MEAN,QTR_ROLL,-0,0,,,'')":1.88,"TAP^FF_EPS(QTR_R,0)":1.2177,"REG^FE_ESTIMATE(EPS,MEAN,QTR_ROLL,-0,0,,,'')":1.09,"QCOM^JULIAN(FF_EPS(QTR_R,0).DATES)":46022,"PTC^FF_EPS(QTR_R,0)":1.3878,"PNC^FF_EPS(QTR_R,0)":4.8782,"PHM^FF_EPS(QTR_R,0)":2.5621,"PFE^FE_ESTIMATE(EPS,MEAN,QTR_ROLL,-0,0,,,'')":0.66,"ZBH^JULIAN(FF_EPS(QTR_R,0).DATES)":46022,"WELL^FF_EPS(QTR_R,0)":-1.859,"WAB^FF_EPS(QTR_R,0)":1.1813,"USB^FE_ESTIMATE(EPS,MEAN,QTR_ROLL,-0,0,,,'')":1.26,"UHS^FF_EPS(QTR_R,0)":7.0608,"TROW^FE_ESTIMATE(EPS,MEAN,QTR_ROLL,-0,0,,,'')":2.44,"TJX^FF_EPS(QTR_R,0)":1.576,"TEL^FF_EPS(QTR_R,0)":2.5253,"SRE^JULIAN(FF_EPS(QTR_R,0).DATES)":46022,"RSG^JULIAN(FF_EPS(QTR_R,0).DATES)":46022,"RL^FF_EPS(QTR_R,0)":5.8135,"PXD^FE_ESTIMATE(EPS,MEAN,QTR_ROLL,-0,0,,,'')":null,"PSA^JULIAN(FF_EPS(QTR_R,0).DATES)":46022,"PEP^JULIAN(FF_EPS(QTR_R,0).DATES)":46022,"PAYC^FE_ESTIMATE(EPS,MEAN,QTR_ROLL,-0,0,,,'')":2.45,"ORLY^JULIAN(FF_EPS(QTR_R,0).DATES)":46022,"MMM^FF_EPS(QTR_R,0)":1.0705,"MKC^JULIAN(FF_EPS(QTR_R,0).DATES)":45989,"MCD^FE_ESTIMATE(EPS,MEAN,QTR_ROLL,-0,0,,,'')":3.12,"MA^JULIAN(FF_EPS(QTR_R,0).DATES)":46022,"LNT^FF_EPS(QTR_R,0)":0.5487,"KMX^JULIAN(FF_EPS(QTR_R,0).DATES)":45989,"KIM^JULIAN(FF_EPS(QTR_R,0).DATES)":46022,"J^JULIAN(FF_EPS(QTR_R,0).DATES)":46022,"WY^FF_EPS(QTR_R,0)":0.1025,"WEC^JULIAN(FF_EPS(QTR_R,0).DATES)":46022,"VTR^FE_ESTIMATE(EPS,MEAN,QTR_ROLL,-0,0,,,'')":0.15,"ULTA^JULIAN(FF_EPS(QTR_R,0).DATES)":46052,"TRMB^FF_EPS(QTR_R,0)":0.653,"T^FE_ESTIMATE(EPS,MEAN,QTR_ROLL,-0,0,,,'')":0.52,"STZ^JULIAN(FF_EPS(QTR_R,0).DATES)":45989,"RTX^FF_EPS(QTR_R,0)":1.1912,"RMD^JULIAN(FF_EPS(QTR_R,0).DATES)":46022,"PVH^FE_ESTIMATE(EPS,MEAN,QTR_ROLL,-0,0,,,'')":2.83,"PPL^FF_EPS(QTR_R,0)":0.357,"PGR^FE_ESTIMATE(EPS,MEAN,QTR_ROLL,-0,0,,,'')":4.582925,"NI^FF_EPS(QTR_R,0)":0.5349,"MOH^JULIAN(FF_EPS(QTR_R,0).DATES)":46022,"MET^FF_EPS(QTR_R,0)":1.1749,"LYV^FE_ESTIMATE(EPS,MEAN,QTR_ROLL,-0,0,,,'')":-1.06,"LLY^FF_EPS(QTR_R,0)":7.0237,"KIM^FE_ESTIMATE(EPS,MEAN,QTR_ROLL,-0,0,,,'')":0.21,"KDP^JULIAN(FF_EPS(QTR_R,0).DATES)":46022,"INTU^FE_ESTIMATE(EPS,MEAN,QTR_ROLL,-0,0,,,'')":4.15,"HST^JULIAN(FF_EPS(QTR_R,0).DATES)":46022,"GRMN^FF_EPS(QTR_R,0)":2.7283,"GIS^FE_ESTIMATE(EPS,MEAN,QTR_ROLL,-0,0,,,'')":0.64,"GE^FE_ESTIMATE(EPS,MEAN,QTR_ROLL,-0,0,,,'')":1.57,"FAST^FF_EPS(QTR_R,0)":0.2556,"EXPD^FE_ESTIMATE(EPS,MEAN,QTR_ROLL,-0,0,,,'')":1.49,"EVRG^JULIAN(FF_EPS(QTR_R,0).DATES)":46022,"ES^FF_EPS(QTR_R,0)":1.12,"EOG^FE_ESTIMATE(EPS,MEAN,QTR_ROLL,-0,0,,,'')":2.27,"ED^JULIAN(FF_EPS(QTR_R,0).DATES)":46022,"DVN^FE_ESTIMATE(EPS,MEAN,QTR_ROLL,-0,0,,,'')":0.82,"DOV^JULIAN(FF_EPS(QTR_R,0).DATES)":46022,"DHI^FF_EPS(QTR_R,0)":2.028,"CTLT^FF_EPS(QTR_R,0)":-0.7088,"CPAY^FE_ESTIMATE(EPS,MEAN,QTR_ROLL,-0,0,,,'')":6.04,"COP^FF_EPS(QTR_R,0)":1.1646,"CMA^JULIAN(FF_EPS(QTR_R,0).DATES)":46022,"CI^FE_ESTIMATE(EPS,MEAN,QTR_ROLL,-0,0,,,'')":8.08,"CHD^FF_EPS(QTR_R,0)":0.5989,"CDNS^JULIAN(FF_EPS(QTR_R,0).DATES)":46022,"CAT^FE_ESTIMATE(EPS,MEAN,QTR_ROLL,-0,0,,,'')":5.16,"CAG^FF_EPS(QTR_R,0)":-1.3854,"BX^JULIAN(FF_EPS(QTR_R,0).DATES)":46022,"BLK^FE_ESTIMATE(EPS,MEAN,QTR_ROLL,-0,0,,,'')":13.16,"BAX^FE_ESTIMATE(EPS,MEAN,QTR_ROLL,-0,0,,,'')":0.36,"AZO^FF_EPS(QTR_R,0)":27.6304,"AVY^JULIAN(FF_EPS(QTR_R,0).DATES)":46022,"APH^FE_ESTIMATE(EPS,MEAN,QTR_ROLL,-0,0,,,'')":0.97,"ANET^FF_EPS(QTR_R,0)":0.75,"AMP^JULIAN(FF_EPS(QTR_R,0).DATES)":46022,"AKAM^FF_EPS(QTR_R,0)":0.5788,"ADM^FE_ESTIMATE(EPS,MEAN,QTR_ROLL,-0,0,,,'')":0.87,"ACN^FF_EPS(QTR_R,0)":2.9342,"ZTS^FG_COMPANY_NAME":"Zoetis, Inc. Class A","WDC^FG_COMPANY_NAME":"Western Digital Corporation","UPS^FG_COMPANY_NAME":"United Parcel Service, Inc. Class B","TXN^FG_COMPANY_NAME":"Texas Instruments Incorporated","STZ^FG_COMPANY_NAME":"Constellation Brands, Inc. Class A","PODD^FG_COMPANY_NAME":"Insulet Corporation","MCD^FG_COMPANY_NAME":"McDonald's Corporation","LUV^FG_COMPANY_NAME":"Southwest Airlines Co.","LHX^FG_COMPANY_NAME":"L3Harris Technologies Inc","KMI^FG_COMPANY_NAME":"Kinder Morgan Inc Class P","JPM^FG_COMPANY_NAME":"JPMorgan Chase & Co.","ITW^FG_COMPANY_NAME":"Illinois Tool Works Inc.","HUM^FG_COMPANY_NAME":"Humana Inc.","HOLX^FG_COMPANY_NAME":"Hologic, Inc.","GPN^FG_COMPANY_NAME":"Global Payments Inc.","GILD^FG_COMPANY_NAME":"Gilead Sciences, Inc.","FSLR^FG_COMPANY_NAME":"First Solar, Inc.","FI^FG_COMPANY_NAME":"Fiserv, Inc.","F^FG_COMPANY_NAME":"Ford Motor Company","CAH^FG_COMPANY_NAME":"Cardinal Health, Inc.","BIIB^FG_COMPANY_NAME":"Biogen Inc.","ATO^FG_COMPANY_NAME":"Atmos Energy Corporation","AMAT^FG_COMPANY_NAME":"Applied Materials, Inc.","ADBE^FG_COMPANY_NAME":"Adobe Inc.","ZBRA^FE_ESTIMATE(EPS,MEAN,QTR_ROLL,-0,0,,,'')":4.33,"WY^JULIAN(FF_EPS(QTR_R,0).DATES)":46022,"TTWO^JULIAN(FF_EPS(QTR_R,0).DATES)":46022,"TRMB^JULIAN(FF_EPS(QTR_R,0).DATES)":46022,"TFC^FF_EPS(QTR_R,0)":1.003,"T^JULIAN(FF_EPS(QTR_R,0).DATES)":46022,"STX^FE_ESTIMATE(EPS,MEAN,QTR_ROLL,-0,0,,,'')":3.11,"SPG^FF_EPS(QTR_R,0)":0.5601,"SJM^FF_EPS(QTR_R,0)":-6.7872,"RL^FE_ESTIMATE(EPS,MEAN,QTR_ROLL,-0,0,,,'')":6.22,"RCL^FE_ESTIMATE(EPS,MEAN,QTR_ROLL,-0,0,,,'')":2.8,"PPG^JULIAN(FF_EPS(QTR_R,0).DATES)":46022,"PEAK^FF_EPS(QTR_R,0)":0.1638,"PARA^JULIAN(FF_EPS(QTR_R,0).DATES)":46022,"NWS^FE_ESTIMATE(EPS,MEAN,QTR_ROLL,-0,0,,,'')":0.4,"NTAP^FF_EPS(QTR_R,0)":1.67,"NI^JULIAN(FF_EPS(QTR_R,0).DATES)":46022,"MSI^JULIAN(FF_EPS(QTR_R,0).DATES)":46022,"MRK^FE_ESTIMATE(EPS,MEAN,QTR_ROLL,-0,0,,,'')":2.04,"MKTX^JULIAN(FF_EPS(QTR_R,0).DATES)":46022,"MCD^FF_EPS(QTR_R,0)":3.03,"LLY^JULIAN(FF_EPS(QTR_R,0).DATES)":46022,"K^JULIAN(FF_EPS(QTR_R,0).DATES)":45930,"IVZ^JULIAN(FF_EPS(QTR_R,0).DATES)":46022,"IR^JULIAN(FF_EPS(QTR_R,0).DATES)":46022,"HSIC^FE_ESTIMATE(EPS,MEAN,QTR_ROLL,-0,0,,,'')":1.34,"GILD^FE_ESTIMATE(EPS,MEAN,QTR_ROLL,-0,0,,,'')":1.86,"FOX^JULIAN(FF_EPS(QTR_R,0).DATES)":46022,"FDX^FF_EPS(QTR_R,0)":4.41,"EQT^FE_ESTIMATE(EPS,MEAN,QTR_ROLL,-0,0,,,'')":0.9,"EL^FE_ESTIMATE(EPS,MEAN,QTR_ROLL,-0,0,,,'')":0.87,"DRI^FE_ESTIMATE(EPS,MEAN,QTR_ROLL,-0,0,,,'')":2.95,"DE^FE_ESTIMATE(EPS,MEAN,QTR_ROLL,-0,0,,,'')":2.42,"CVS^JULIAN(FF_EPS(QTR_R,0).DATES)":46022,"COP^JULIAN(FF_EPS(QTR_R,0).DATES)":46022,"CNC^FF_EPS(QTR_R,0)":-2.2399,"CLX^FE_ESTIMATE(EPS,MEAN,QTR_ROLL,-0,0,,,'')":1.39,"CEG^JULIAN(FF_EPS(QTR_R,0).DATES)":46022,"BKNG^FF_EPS(QTR_R,0)":44.2201,"BDX^FE_ESTIMATE(EPS,MEAN,QTR_ROLL,-0,0,,,'')":2.2868385,"AIG^JULIAN(FF_EPS(QTR_R,0).DATES)":46022,"ADM^FF_EPS(QTR_R,0)":0.9422,"VRSN^FG_COMPANY_NAME":"VeriSign, Inc.","TDY^FG_COMPANY_NAME":"Teledyne Technologies Incorporated","SNA^FG_COMPANY_NAME":"Snap-on Incorporated","RTX^FG_COMPANY_NAME":"RTX Corporation","RF^FG_COMPANY_NAME":"Regions Financial Corporation","PGR^FG_COMPANY_NAME":"Progressive Corporation","PAYX^FG_COMPANY_NAME":"Paychex, Inc.","NTRS^FG_COMPANY_NAME":"Northern Trust Corporation","NEM^FG_COMPANY_NAME":"Newmont Corporation","MSI^FG_COMPANY_NAME":"Motorola Solutions, Inc.","ES^FG_COMPANY_NAME":"Eversource Energy","DVA^FG_COMPANY_NAME":"DaVita Inc.","CMI^FG_COMPANY_NAME":"Cummins Inc.","CHTR^FG_COMPANY_NAME":"Charter Communications, Inc. Class A","DAY^FG_COMPANY_NAME":"Dayforce, Inc.","BR^FG_COMPANY_NAME":"Broadridge Financial Solutions, Inc.","BA^FG_COMPANY_NAME":"Boeing Company","ANET^FG_COMPANY_NAME":"Arista Networks, Inc.","AFL^FG_COMPANY_NAME":"Aflac Incorporated","PLTR^FE_ESTIMATE(EPS,MEAN,QTR_ROLL,-0,0,,,'')":0.25,"PEAK^JULIAN(FF_EPS(QTR_R,0).DATES)":46022,"NWS^FF_EPS(QTR_R,0)":0.3434,"NCLH^FF_EPS(QTR_R,0)":0.031,"MNST^FE_ESTIMATE(EPS,MEAN,QTR_ROLL,-0,0,,,'')":0.51,"LEN^JULIAN(FF_EPS(QTR_R,0).DATES)":46080,"HUM^FE_ESTIMATE(EPS,MEAN,QTR_ROLL,-0,0,,,'')":-3.96,"GILD^FF_EPS(QTR_R,0)":1.7422,"FDX^JULIAN(FF_EPS(QTR_R,0).DATES)":46080,"FAST^JULIAN(FF_EPS(QTR_R,0).DATES)":46022,"EXPD^FF_EPS(QTR_R,0)":1.4908,"EOG^FF_EPS(QTR_R,0)":1.3006,"EL^FF_EPS(QTR_R,0)":0.4441,"ECL^FE_ESTIMATE(EPS,MEAN,QTR_ROLL,-0,0,,,'')":2.08,"DGX^FF_EPS(QTR_R,0)":2.1875,"CTLT^JULIAN(FF_EPS(QTR_R,0).DATES)":45565,"CHD^JULIAN(FF_EPS(QTR_R,0).DATES)":46022,"BG^FE_ESTIMATE(EPS,MEAN,QTR_ROLL,-0,0,,,'')":1.99,"AZO^JULIAN(FF_EPS(QTR_R,0).DATES)":46080,"APH^FF_EPS(QTR_R,0)":0.9277,"ANET^JULIAN(FF_EPS(QTR_R,0).DATES)":46022,"AMCR^FF_EPS(QTR_R,0)":0.3816,"AEE^FF_EPS(QTR_R,0)":0.9207,"ACN^JULIAN(FF_EPS(QTR_R,0).DATES)":46080,"ZION^FG_COMPANY_NAME":"Zions Bancorporation NA","UNP^FG_COMPANY_NAME":"Union Pacific Corporation","TTWO^FG_COMPANY_NAME":"Take-Two Interactive Software, Inc.","TMUS^FG_COMPANY_NAME":"T-Mobile US, Inc.","SMCI^FG_COMPANY_NAME":"Super Micro Computer, Inc.","MGM^FG_COMPANY_NAME":"MGM Resorts International","MAS^FG_COMPANY_NAME":"Masco Corporation","LH^FG_COMPANY_NAME":"Labcorp Holdings Inc.","KMB^FG_COMPANY_NAME":"Kimberly-Clark Corporation","INCY^FG_COMPANY_NAME":"Incyte Corporation","HD^FG_COMPANY_NAME":"Home Depot, Inc.","GEV^FG_COMPANY_NAME":"GE Vernova Inc.","FRT^FG_COMPANY_NAME":"Federal Realty Investment Trust","CAG^FG_COMPANY_NAME":"Conagra Brands, Inc.","BG^FG_COMPANY_NAME":"Bunge Global SA","ARE^FG_COMPANY_NAME":"Alexandria Real Estate Equities, Inc.","OKE^FE_ESTIMATE(EPS,MEAN,QTR_ROLL,-0,0,,,'')":1.55,"JCI^FF_EPS(QTR_R,0)":0.8534,"HON^FF_EPS(QTR_R,0)":0.462,"GNRC^FE_ESTIMATE(EPS,MEAN,QTR_ROLL,-0,0,,,'')":1.61,"FTNT^JULIAN(FF_EPS(QTR_R,0).DATES)":46022,"FICO^FF_EPS(QTR_R,0)":6.6104,"DAL^JULIAN(FF_EPS(QTR_R,0).DATES)":46022,"CSCO^FE_ESTIMATE(EPS,MEAN,QTR_ROLL,-0,0,,,'')":1.04,"CRL^JULIAN(FF_EPS(QTR_R,0).DATES)":46022,"CMG^JULIAN(FF_EPS(QTR_R,0).DATES)":46022,"CBRE^FE_ESTIMATE(EPS,MEAN,QTR_ROLL,-0,0,,,'')":2.73,"BRK.B^FE_ESTIMATE(EPS,MEAN,QTR_ROLL,-0,0,,,'')":4.72865,"ATO^FE_ESTIMATE(EPS,MEAN,QTR_ROLL,-0,0,,,'')":2.44,"AOS^FF_EPS(QTR_R,0)":0.8961,"ALL^FF_EPS(QTR_R,0)":14.3672,"AEE^FE_ESTIMATE(EPS,MEAN,QTR_ROLL,-0,0,,,'')":0.78,"WTW^FG_COMPANY_NAME":"Willis Towers Watson Public Limited Company","TPR^FG_COMPANY_NAME":"Tapestry, Inc.","OKE^FG_COMPANY_NAME":"ONEOK, Inc.","MOS^FG_COMPANY_NAME":"Mosaic Company","IT^FG_COMPANY_NAME":"Gartner, Inc.","EL^FG_COMPANY_NAME":"Estee Lauder Companies Inc. Class A","DHR^FG_COMPANY_NAME":"Danaher Corporation","DAL^FG_COMPANY_NAME":"Delta Air Lines, Inc.","CTAS^FG_COMPANY_NAME":"Cintas Corporation","PVH^JULIAN(FF_EPS(QTR_R,0).DATES)":45961,"MKC^FE_ESTIMATE(EPS,MEAN,QTR_ROLL,-0,0,,,'')":0.86,"LRCX^FE_ESTIMATE(EPS,MEAN,QTR_ROLL,-0,0,,,'')":1.27,"KMX^FE_ESTIMATE(EPS,MEAN,QTR_ROLL,-0,0,,,'')":0.43,"IQV^FE_ESTIMATE(EPS,MEAN,QTR_ROLL,-0,0,,,'')":3.42,"INTU^FF_EPS(QTR_R,0)":2.475,"HSIC^FF_EPS(QTR_R,0)":0.8535,"HAS^JULIAN(FF_EPS(QTR_R,0).DATES)":46022,"FMC^JULIAN(FF_EPS(QTR_R,0).DATES)":46022,"DVN^FF_EPS(QTR_R,0)":0.9035,"CTVA^FE_ESTIMATE(EPS,MEAN,QTR_ROLL,-0,0,,,'')":0.22,"CPT^FE_ESTIMATE(EPS,MEAN,QTR_ROLL,-0,0,,,'')":1.44,"CI^FF_EPS(QTR_R,0)":4.6444,"CAT^FF_EPS(QTR_R,0)":5.1215,"BWA^FE_ESTIMATE(EPS,MEAN,QTR_ROLL,-0,0,,,'')":1.35,"BLK^FF_EPS(QTR_R,0)":7.1584,"LULU^FG_COMPANY_NAME":"lululemon athletica inc.","GPC^FG_COMPANY_NAME":"Genuine Parts Company","FFIV^FG_COMPANY_NAME":"F5, Inc.","CSX^FG_COMPANY_NAME":"CSX Corporation","ALLE^FG_COMPANY_NAME":"Allegion Public Limited Company","ACN^FG_COMPANY_NAME":"Accenture Plc Class A","ZBRA^JULIAN(FF_EPS(QTR_R,0).DATES)":46022,"WDC^FE_ESTIMATE(EPS,MEAN,QTR_ROLL,-0,0,,,'')":2.13,"VTR^FF_EPS(QTR_R,0)":0.146,"UHS^FE_ESTIMATE(EPS,MEAN,QTR_ROLL,-0,0,,,'')":5.88,"TER^FF_EPS(QTR_R,0)":1.6316,"SYY^FE_ESTIMATE(EPS,MEAN,QTR_ROLL,-0,0,,,'')":0.99,"SPG^JULIAN(FF_EPS(QTR_R,0).DATES)":46022,"RTX^JULIAN(FF_EPS(QTR_R,0).DATES)":46022,"RJF^FE_ESTIMATE(EPS,MEAN,QTR_ROLL,-0,0,,,'')":2.86,"RCL^FF_EPS(QTR_R,0)":2.7619,"PGR^FF_EPS(QTR_R,0)":5.0187,"NSC^FF_EPS(QTR_R,0)":2.8652,"MET^JULIAN(FF_EPS(QTR_R,0).DATES)":46022,"GRMN^JULIAN(FF_EPS(QTR_R,0).DATES)":46022,"DLTR^FE_ESTIMATE(EPS,MEAN,QTR_ROLL,-0,0,,,'')":2.56,"COO^FE_ESTIMATE(EPS,MEAN,QTR_ROLL,-0,0,,,'')":1.1,"AVGO^FE_ESTIMATE(EPS,MEAN,QTR_ROLL,-0,0,,,'')":2.05,"AMGN^FE_ESTIMATE(EPS,MEAN,QTR_ROLL,-0,0,,,'')":5.29,"AKAM^JULIAN(FF_EPS(QTR_R,0).DATES)":46022,"AFL^FE_ESTIMATE(EPS,MEAN,QTR_ROLL,-0,0,,,'')":1.57,"ABBV^FE_ESTIMATE(EPS,MEAN,QTR_ROLL,-0,0,,,'')":2.71,"WBD^FG_COMPANY_NAME":"Warner Bros. Discovery, Inc. Series A","STX^FG_COMPANY_NAME":"Seagate Technology Holdings PLC","REGN^FG_COMPANY_NAME":"Regeneron Pharmaceuticals, Inc.","PVH^FG_COMPANY_NAME":"PVH Corp.","HUBB^FG_COMPANY_NAME":"Hubbell Incorporated","ZBH^FE_ESTIMATE(EPS,MEAN,QTR_ROLL,-0,0,,,'')":2.42,"WRB^FE_ESTIMATE(EPS,MEAN,QTR_ROLL,-0,0,,,'')":1.13,"WDC^FF_EPS(QTR_R,0)":4.7297,"VTR^JULIAN(FF_EPS(QTR_R,0).DATES)":46022,"UHS^JULIAN(FF_EPS(QTR_R,0).DATES)":46022,"TT^FE_ESTIMATE(EPS,MEAN,QTR_ROLL,-0,0,,,'')":2.86,"TRGP^JULIAN(FF_EPS(QTR_R,0).DATES)":46022,"SYY^FF_EPS(QTR_R,0)":0.8093,"STX^FF_EPS(QTR_R,0)":2.6009,"SO^FF_EPS(QTR_R,0)":0.3719,"RCL^JULIAN(FF_EPS(QTR_R,0).DATES)":46022,"PLTR^FF_EPS(QTR_R,0)":0.2365,"OKE^FF_EPS(QTR_R,0)":1.5478,"NSC^JULIAN(FF_EPS(QTR_R,0).DATES)":46022,"NFLX^FE_ESTIMATE(EPS,MEAN,QTR_ROLL,-0,0,,,'')":0.56,"MRK^JULIAN(FF_EPS(QTR_R,0).DATES)":46022,"MDLZ^FE_ESTIMATE(EPS,MEAN,QTR_ROLL,-0,0,,,'')":0.72,"MCD^JULIAN(FF_EPS(QTR_R,0).DATES)":46022,"LYV^JULIAN(FF_EPS(QTR_R,0).DATES)":46022,"LDOS^JULIAN(FF_EPS(QTR_R,0).DATES)":46022,"KHC^FE_ESTIMATE(EPS,MEAN,QTR_ROLL,-0,0,,,'')":0.67,"JPM^FE_ESTIMATE(EPS,MEAN,QTR_ROLL,-0,0,,,'')":4.63,"JCI^JULIAN(FF_EPS(QTR_R,0).DATES)":46022,"IT^FE_ESTIMATE(EPS,MEAN,QTR_ROLL,-0,0,,,'')":3.94,"HON^JULIAN(FF_EPS(QTR_R,0).DATES)":46022,"FSLR^FE_ESTIMATE(EPS,MEAN,QTR_ROLL,-0,0,,,'')":4.84,"FDS^FE_ESTIMATE(EPS,MEAN,QTR_ROLL,-0,0,,,'')":4.51,"WDC^JULIAN(FF_EPS(QTR_R,0).DATES)":46022,"V^JULIAN(FF_EPS(QTR_R,0).DATES)":46022,"TSN^FF_EPS(QTR_R,0)":0.2464,"STX^JULIAN(FF_EPS(QTR_R,0).DATES)":46022,"SEE^FF_EPS(QTR_R,0)":0.2996,"RSG^FF_EPS(QTR_R,0)":1.7598,"RJF^FF_EPS(QTR_R,0)":2.7855,"PTC^JULIAN(FF_EPS(QTR_R,0).DATES)":46022,"POOL^JULIAN(FF_EPS(QTR_R,0).DATES)":46022,"PG^JULIAN(FF_EPS(QTR_R,0).DATES)":46022,"PCG^FE_ESTIMATE(EPS,MEAN,QTR_ROLL,-0,0,,,'')":0.36,"OTIS^FF_EPS(QTR_R,0)":0.9546,"NVR^FE_ESTIMATE(EPS,MEAN,QTR_ROLL,-0,0,,,'')":121.54,"NFLX^FF_EPS(QTR_R,0)":0.5602,"MSFT^JULIAN(FF_EPS(QTR_R,0).DATES)":46022,"MNST^FF_EPS(QTR_R,0)":0.4552,"MKC^FF_EPS(QTR_R,0)":0.8414,"LRCX^FF_EPS(QTR_R,0)":1.2633,"LKQ^JULIAN(FF_EPS(QTR_R,0).DATES)":46022,"JBL^FE_ESTIMATE(EPS,MEAN,QTR_ROLL,-0,0,,,'')":2.69,"IQV^JULIAN(FF_EPS(QTR_R,0).DATES)":46022,"INTC^FE_ESTIMATE(EPS,MEAN,QTR_ROLL,-0,0,,,'')":0.15,"IDXX^FE_ESTIMATE(EPS,MEAN,QTR_ROLL,-0,0,,,'')":3.08,"HUM^FF_EPS(QTR_R,0)":-6.6146,"HSIC^JULIAN(FF_EPS(QTR_R,0).DATES)":46022,"HOLX^JULIAN(FF_EPS(QTR_R,0).DATES)":46022,"HAL^FE_ESTIMATE(EPS,MEAN,QTR_ROLL,-0,0,,,'')":0.69,"GNRC^JULIAN(FF_EPS(QTR_R,0).DATES)":46022,"GILD^JULIAN(FF_EPS(QTR_R,0).DATES)":46022,"GDDY^FE_ESTIMATE(EPS,MEAN,QTR_ROLL,-0,0,,,'')":1.8,"FSLR^FF_EPS(QTR_R,0)":4.8384,"FLT^FE_ESTIMATE(EPS,MEAN,QTR_ROLL,-0,0,,,'')":6.04,"FI^FE_ESTIMATE(EPS,MEAN,QTR_ROLL,-0,0,,,'')":1.99,"F^FE_ESTIMATE(EPS,MEAN,QTR_ROLL,-0,0,,,'')":0.13,"EQR^FE_ESTIMATE(EPS,MEAN,QTR_ROLL,-0,0,,,'')":1.0,"EOG^JULIAN(FF_EPS(QTR_R,0).DATES)":46022,"EL^JULIAN(FF_EPS(QTR_R,0).DATES)":46022,"WRB^FF_EPS(QTR_R,0)":1.1262,"VRTX^JULIAN(FF_EPS(QTR_R,0).DATES)":46022,"TEL^FE_ESTIMATE(EPS,MEAN,QTR_ROLL,-0,0,,,'')":2.72,"SYK^FE_ESTIMATE(EPS,MEAN,QTR_ROLL,-0,0,,,'')":4.47,"SO^JULIAN(FF_EPS(QTR_R,0).DATES)":46022,"SCHW^FE_ESTIMATE(EPS,MEAN,QTR_ROLL,-0,0,,,'')":1.39,"QRVO^JULIAN(FF_EPS(QTR_R,0).DATES)":46022,"PODD^FE_ESTIMATE(EPS,MEAN,QTR_ROLL,-0,0,,,'')":1.55,"PLTR^JULIAN(FF_EPS(QTR_R,0).DATES)":46022,"PFG^FE_ESTIMATE(EPS,MEAN,QTR_ROLL,-0,0,,,'')":2.19,"PCAR^FE_ESTIMATE(EPS,MEAN,QTR_ROLL,-0,0,,,'')":1.06,"OTIS^JULIAN(FF_EPS(QTR_R,0).DATES)":46022,"NVR^FF_EPS(QTR_R,0)":121.5553,"NRG^FF_EPS(QTR_R,0)":0.2626,"MU^FF_EPS(QTR_R,0)":12.0709,"MSCI^FE_ESTIMATE(EPS,MEAN,QTR_ROLL,-0,0,,,'')":4.66,"MDLZ^FF_EPS(QTR_R,0)":0.5147,"MAS^FE_ESTIMATE(EPS,MEAN,QTR_ROLL,-0,0,,,'')":0.82,"LYB^FE_ESTIMATE(EPS,MEAN,QTR_ROLL,-0,0,,,'')":-0.26,"L^FE_ESTIMATE(EPS,MEAN,QTR_ROLL,-0,0,,,'')":2.138259,"JPM^JULIAN(FF_EPS(QTR_R,0).DATES)":46022,"IPG^FE_ESTIMATE(EPS,MEAN,QTR_ROLL,-0,0,,,'')":0.75,"GPN^JULIAN(FF_EPS(QTR_R,0).DATES)":46022,"GM^FF_EPS(QTR_R,0)":-3.6,"EXC^FE_ESTIMATE(EPS,MEAN,QTR_ROLL,-0,0,,,'')":0.59,"ETN^FE_ESTIMATE(EPS,MEAN,QTR_ROLL,-0,0,,,'')":3.33,"ENPH^FE_ESTIMATE(EPS,MEAN,QTR_ROLL,-0,0,,,'')":0.71,"DVA^FE_ESTIMATE(EPS,MEAN,QTR_ROLL,-0,0,,,'')":3.4,"DRI^JULIAN(FF_EPS(QTR_R,0).DATES)":46080,"DIS^FE_ESTIMATE(EPS,MEAN,QTR_ROLL,-0,0,,,'')":1.63,"DG^FE_ESTIMATE(EPS,MEAN,QTR_ROLL,-0,0,,,'')":1.93,"DE^JULIAN(FF_EPS(QTR_R,0).DATES)":46052,"D^FF_EPS(QTR_R,0)":0.6462,"CTVA^JULIAN(FF_EPS(QTR_R,0).DATES)":46022,"CTAS^FF_EPS(QTR_R,0)":1.2416,"CPT^JULIAN(FF_EPS(QTR_R,0).DATES)":46022,"COO^JULIAN(FF_EPS(QTR_R,0).DATES)":46052,"CMS^FE_ESTIMATE(EPS,MEAN,QTR_ROLL,-0,0,,,'')":0.95,"CLX^JULIAN(FF_EPS(QTR_R,0).DATES)":46022,"CHTR^FE_ESTIMATE(EPS,MEAN,QTR_ROLL,-0,0,,,'')":10.34,"CE^FF_EPS(QTR_R,0)":0.173,"CBRE^JULIAN(FF_EPS(QTR_R,0).DATES)":46022,"C^FF_EPS(QTR_R,0)":1.1938,"BWA^JULIAN(FF_EPS(QTR_R,0).DATES)":46022,"BK^FF_EPS(QTR_R,0)":2.0237,"BAC^FE_ESTIMATE(EPS,MEAN,QTR_ROLL,-0,0,,,'')":0.98,"AXP^FF_EPS(QTR_R,0)":3.5305,"ATO^JULIAN(FF_EPS(QTR_R,0).DATES)":46022,"AON^FE_ESTIMATE(EPS,MEAN,QTR_ROLL,-0,0,,,'')":4.85,"AMGN^JULIAN(FF_EPS(QTR_R,0).DATES)":46022,"AFL^JULIAN(FF_EPS(QTR_R,0).DATES)":46022,"ACGL^FF_EPS(QTR_R,0)":3.3497,"ABBV^JULIAN(FF_EPS(QTR_R,0).DATES)":46022,"WRB^FG_COMPANY_NAME":"W. R. Berkley Corporation","VMC^FG_COMPANY_NAME":"Vulcan Materials Company","ULTA^FG_COMPANY_NAME":"Ulta Beauty Inc.","TSN^FG_COMPANY_NAME":"Tyson Foods, Inc. Class A","TAP^FG_COMPANY_NAME":"Molson Coors Beverage Company Class B","SJM^FG_COMPANY_NAME":"J.M. Smucker Company","PSX^FG_COMPANY_NAME":"Phillips 66","PNC^FG_COMPANY_NAME":"PNC Financial Services Group, Inc.","PFG^FG_COMPANY_NAME":"Principal Financial Group, Inc.","PARA^FG_COMPANY_NAME":"Paramount Skydance Corporation Class B","O^FG_COMPANY_NAME":"Realty Income Corporation","NSC^FG_COMPANY_NAME":"Norfolk Southern Corporation","NDSN^FG_COMPANY_NAME":"Nordson Corporation","LOW^FG_COMPANY_NAME":"Lowe's Companies, Inc.","LDOS^FG_COMPANY_NAME":"Leidos Holdings, Inc.","KIM^FG_COMPANY_NAME":"Kimco Realty Corporation","FDX^FG_COMPANY_NAME":"FedEx Corporation","EXPD^FG_COMPANY_NAME":"Expeditors International of Washington, Inc.","EQR^FG_COMPANY_NAME":"Equity Residential","EFX^FG_COMPANY_NAME":"Equifax Inc.","CSCO^FG_COMPANY_NAME":"Cisco Systems, Inc.","COR^FG_COMPANY_NAME":"Cencora, Inc.","CME^FG_COMPANY_NAME":"CME Group Inc. Class A","CHD^FG_COMPANY_NAME":"Church & Dwight Co., Inc.","CCI^FG_COMPANY_NAME":"Crown Castle Inc.","BLK^FG_COMPANY_NAME":"BlackRock, Inc.","AXP^FG_COMPANY_NAME":"American Express Company","AMT^FG_COMPANY_NAME":"American Tower Corporation","ABT^FG_COMPANY_NAME":"Abbott Laboratories","AMZN^JULIAN(FF_EPS(QTR_R,0).DATES)":46022,"ALGN^FF_EPS(QTR_R,0)":1.8919,"AJG^JULIAN(FF_EPS(QTR_R,0).DATES)":46022,"ADSK^FE_ESTIMATE(EPS,MEAN,QTR_ROLL,-0,0,,,'')":2.85,"ADI^FF_EPS(QTR_R,0)":1.6898,"ACGL^JULIAN(FF_EPS(QTR_R,0).DATES)":46022,"ZBH^FG_COMPANY_NAME":"Zimmer Biomet Holdings, Inc.","VLTO^FG_COMPANY_NAME":"Veralto Corporation","TJX^FG_COMPANY_NAME":"TJX Companies Inc","T^FG_COMPANY_NAME":"AT&T Inc","STE^FG_COMPANY_NAME":"STERIS plc","YUM^JULIAN(FF_EPS(QTR_R,0).DATES)":46022,"WBD^FE_ESTIMATE(EPS,MEAN,QTR_ROLL,-0,0,,,'')":-0.1,"USB^JULIAN(FF_EPS(QTR_R,0).DATES)":46022,"UDR^FF_EPS(QTR_R,0)":0.6665,"TSN^JULIAN(FF_EPS(QTR_R,0).DATES)":46022,"TMUS^JULIAN(FF_EPS(QTR_R,0).DATES)":46022,"SYK^JULIAN(FF_EPS(QTR_R,0).DATES)":46022,"STLD^FF_EPS(QTR_R,0)":1.819,"SNPS^JULIAN(FF_EPS(QTR_R,0).DATES)":46052,"SCHW^FF_EPS(QTR_R,0)":1.332,"ROP^FE_ESTIMATE(EPS,MEAN,QTR_ROLL,-0,0,,,'')":5.21,"RF^FE_ESTIMATE(EPS,MEAN,QTR_ROLL,-0,0,,,'')":0.57,"QCOM^FE_ESTIMATE(EPS,MEAN,QTR_ROLL,-0,0,,,'')":3.5,"PSX^FE_ESTIMATE(EPS,MEAN,QTR_ROLL,-0,0,,,'')":2.47,"PODD^FF_EPS(QTR_R,0)":1.4406,"PFG^FF_EPS(QTR_R,0)":2.3246,"ODFL^FF_EPS(QTR_R,0)":1.0933,"NVDA^FF_EPS(QTR_R,0)":1.7584,"NRG^JULIAN(FF_EPS(QTR_R,0).DATES)":46022,"NFLX^JULIAN(FF_EPS(QTR_R,0).DATES)":46022,"MU^JULIAN(FF_EPS(QTR_R,0).DATES)":46080,"MSCI^FF_EPS(QTR_R,0)":3.811,"MMM^FE_ESTIMATE(EPS,MEAN,QTR_ROLL,-0,0,,,'')":1.83,"MHK^FE_ESTIMATE(EPS,MEAN,QTR_ROLL,-0,0,,,'')":2.0,"MDLZ^JULIAN(FF_EPS(QTR_R,0).DATES)":46022,"LW^FE_ESTIMATE(EPS,MEAN,QTR_ROLL,-0,0,,,'')":0.69,"LOW^FE_ESTIMATE(EPS,MEAN,QTR_ROLL,-0,0,,,'')":1.98,"LIN^FE_ESTIMATE(EPS,MEAN,QTR_ROLL,-0,0,,,'')":4.200359,"KMI^FE_ESTIMATE(EPS,MEAN,QTR_ROLL,-0,0,,,'')":0.39,"KEYS^FF_EPS(QTR_R,0)":1.6243,"JBL^FF_EPS(QTR_R,0)":2.08,"IT^JULIAN(FF_EPS(QTR_R,0).DATES)":46022,"INTC^FF_EPS(QTR_R,0)":-0.1217,"IDXX^FF_EPS(QTR_R,0)":3.0838,"HUM^JULIAN(FF_EPS(QTR_R,0).DATES)":46022,"HD^FE_ESTIMATE(EPS,MEAN,QTR_ROLL,-0,0,,,'')":2.72,"HAL^FF_EPS(QTR_R,0)":0.7012,"GEV^FE_ESTIMATE(EPS,MEAN,QTR_ROLL,-0,0,,,'')":13.39,"FLT^FF_EPS(QTR_R,0)":3.7717,"F^FF_EPS(QTR_R,0)":-2.6286,"EQR^FF_EPS(QTR_R,0)":0.982,"EIX^FE_ESTIMATE(EPS,MEAN,QTR_ROLL,-0,0,,,'')":1.86,"EBAY^FF_EPS(QTR_R,0)":1.1478,"DPZ^FE_ESTIMATE(EPS,MEAN,QTR_ROLL,-0,0,,,'')":5.35,"DIS^FF_EPS(QTR_R,0)":1.3396,"CZR^FF_EPS(QTR_R,0)":-1.2315,"CTSH^FE_ESTIMATE(EPS,MEAN,QTR_ROLL,-0,0,,,'')":1.35,"CRWD^FF_EPS(QTR_R,0)":0.1499,"CPRT^FE_ESTIMATE(EPS,MEAN,QTR_ROLL,-0,0,,,'')":0.36,"COST^FF_EPS(QTR_R,0)":4.579,"CMS^FF_EPS(QTR_R,0)":0.9352,"CME^JULIAN(FF_EPS(QTR_R,0).DATES)":46022,"CL^FE_ESTIMATE(EPS,MEAN,QTR_ROLL,-0,0,,,'')":0.95,"CFG^FF_EPS(QTR_R,0)":1.1265,"DAY^JULIAN(FF_EPS(QTR_R,0).DATES)":45930,"CARR^FF_EPS(QTR_R,0)":0.0626,"C^JULIAN(FF_EPS(QTR_R,0).DATES)":46022,"BR^FE_ESTIMATE(EPS,MEAN,QTR_ROLL,-0,0,,,'')":1.59,"BLDR^FF_EPS(QTR_R,0)":0.284,"BBY^FE_ESTIMATE(EPS,MEAN,QTR_ROLL,-0,0,,,'')":2.61,"BAC^FF_EPS(QTR_R,0)":0.9698,"AVGO^JULIAN(FF_EPS(QTR_R,0).DATES)":46052,"APD^FE_ESTIMATE(EPS,MEAN,QTR_ROLL,-0,0,,,'')":3.16,"AON^FF_EPS(QTR_R,0)":7.8199,"WAT^FG_COMPANY_NAME":"Waters Corporation","UHS^FG_COMPANY_NAME":"Universal Health Services, Inc. Class B","ROP^FG_COMPANY_NAME":"Roper Technologies, Inc.","WY^FE_ESTIMATE(EPS,MEAN,QTR_ROLL,-0,0,,,'')":-0.09,"UNH^FF_EPS(QTR_R,0)":0.011,"TROW^JULIAN(FF_EPS(QTR_R,0).DATES)":46022,"TDG^JULIAN(FF_EPS(QTR_R,0).DATES)":46022,"STZ^FF_EPS(QTR_R,0)":2.8795,"RE^FF_EPS(QTR_R,0)":10.7312,"PWR^JULIAN(FF_EPS(QTR_R,0).DATES)":46022,"PPL^FE_ESTIMATE(EPS,MEAN,QTR_ROLL,-0,0,,,'')":0.41,"PNC^JULIAN(FF_EPS(QTR_R,0).DATES)":46022,"PH^FE_ESTIMATE(EPS,MEAN,QTR_ROLL,-0,0,,,'')":7.65,"PEG^JULIAN(FF_EPS(QTR_R,0).DATES)":46022,"NKE^JULIAN(FF_EPS(QTR_R,0).DATES)":45989,"NDSN^JULIAN(FF_EPS(QTR_R,0).DATES)":46052,"MRNA^FF_EPS(QTR_R,0)":-2.1071,"MOH^FF_EPS(QTR_R,0)":-3.1372,"MLM^JULIAN(FF_EPS(QTR_R,0).DATES)":46022,"MET^FE_ESTIMATE(EPS,MEAN,QTR_ROLL,-0,0,,,'')":2.49,"MCK^JULIAN(FF_EPS(QTR_R,0).DATES)":46022,"LMT^JULIAN(FF_EPS(QTR_R,0).DATES)":46022,"KLAC^JULIAN(FF_EPS(QTR_R,0).DATES)":46022,"IBM^FF_EPS(QTR_R,0)":5.8799,"HBAN^FE_ESTIMATE(EPS,MEAN,QTR_ROLL,-0,0,,,'')":0.3,"GRMN^FE_ESTIMATE(EPS,MEAN,QTR_ROLL,-0,0,,,'')":2.79,"GL^JULIAN(FF_EPS(QTR_R,0).DATES)":46022,"GEHC^JULIAN(FF_EPS(QTR_R,0).DATES)":46022,"FTNT^FE_ESTIMATE(EPS,MEAN,QTR_ROLL,-0,0,,,'')":0.81,"FAST^FE_ESTIMATE(EPS,MEAN,QTR_ROLL,-0,0,,,'')":0.26,"EVRG^FF_EPS(QTR_R,0)":0.3661,"ES^FE_ESTIMATE(EPS,MEAN,QTR_ROLL,-0,0,,,'')":1.12,"EPAM^FE_ESTIMATE(EPS,MEAN,QTR_ROLL,-0,0,,,'')":3.26,"ED^FF_EPS(QTR_R,0)":0.82,"DXCM^FE_ESTIMATE(EPS,MEAN,QTR_ROLL,-0,0,,,'')":0.68,"DTE^FF_EPS(QTR_R,0)":1.7762,"DHI^FE_ESTIMATE(EPS,MEAN,QTR_ROLL,-0,0,,,'')":2.03,"DECK^FF_EPS(QTR_R,0)":3.3346,"CTRA^JULIAN(FF_EPS(QTR_R,0).DATES)":46022,"CRL^FE_ESTIMATE(EPS,MEAN,QTR_ROLL,-0,0,,,'')":2.39,"COP^FE_ESTIMATE(EPS,MEAN,QTR_ROLL,-0,0,,,'')":1.02,"CNP^FF_EPS(QTR_R,0)":0.4044,"CMA^FF_EPS(QTR_R,0)":1.27,"CDNS^FF_EPS(QTR_R,0)":1.4221,"CB^JULIAN(FF_EPS(QTR_R,0).DATES)":46022,"BMY^JULIAN(FF_EPS(QTR_R,0).DATES)":46022,"BIIB^FE_ESTIMATE(EPS,MEAN,QTR_ROLL,-0,0,,,'')":1.99,"BEN^FF_EPS(QTR_R,0)":0.4617,"APTV^JULIAN(FF_EPS(QTR_R,0).DATES)":46022,"ANET^FE_ESTIMATE(EPS,MEAN,QTR_ROLL,-0,0,,,'')":0.82,"ALLE^JULIAN(FF_EPS(QTR_R,0).DATES)":46022,"AKAM^FE_ESTIMATE(EPS,MEAN,QTR_ROLL,-0,0,,,'')":1.84,"AEP^FF_EPS(QTR_R,0)":1.0714,"ADP^JULIAN(FF_EPS(QTR_R,0).DATES)":46022,"ABNB^FE_ESTIMATE(EPS,MEAN,QTR_ROLL,-0,0,,,'')":0.56,"A^FF_EPS(QTR_R,0)":1.0739,"WEC^FG_COMPANY_NAME":"WEC Energy Group Inc","URI^FG_COMPANY_NAME":"United Rentals, Inc.","TEL^FG_COMPANY_NAME":"TE Connectivity plc","SWK^FG_COMPANY_NAME":"Stanley Black & Decker, Inc.","SBAC^FG_COMPANY_NAME":"SBA Communications Corp. Class A","LVS^FG_COMPANY_NAME":"Las Vegas Sands Corp.","LIN^FG_COMPANY_NAME":"Linde plc","KMX^FG_COMPANY_NAME":"CarMax, Inc.","K^FG_COMPANY_NAME":"Kellanova","IVZ^FG_COMPANY_NAME":"Invesco Ltd.","INVH^FG_COMPANY_NAME":"Invitation Homes, Inc.","IBM^FG_COMPANY_NAME":"International Business Machines Corporation","HON^FG_COMPANY_NAME":"Honeywell International Inc.","GRMN^FG_COMPANY_NAME":"Garmin Ltd.","GIS^FG_COMPANY_NAME":"General Mills, Inc.","FTNT^FG_COMPANY_NAME":"Fortinet, Inc.","FICO^FG_COMPANY_NAME":"Fair Isaac Corporation","FANG^FG_COMPANY_NAME":"Diamondback Energy, Inc.","ETN^FG_COMPANY_NAME":"Eaton Corp. Plc","CARR^FG_COMPANY_NAME":"Carrier Global Corp.","BIO^FG_COMPANY_NAME":"Bio-Rad Laboratories, Inc. Class A","ATVI^FG_COMPANY_NAME":"Activision Blizzard, Inc.","AMCR^FG_COMPANY_NAME":"Amcor PLC","WAT^FE_ESTIMATE(EPS,MEAN,QTR_ROLL,-0,0,,,'')":4.53,"TDY^FE_ESTIMATE(EPS,MEAN,QTR_ROLL,-0,0,,,'')":6.3,"SCHW^JULIAN(FF_EPS(QTR_R,0).DATES)":46022,"PLD^FE_ESTIMATE(EPS,MEAN,QTR_ROLL,-0,0,,,'')":1.49,"PCAR^FF_EPS(QTR_R,0)":1.0571,"ODFL^JULIAN(FF_EPS(QTR_R,0).DATES)":46022,"NOW^FE_ESTIMATE(EPS,MEAN,QTR_ROLL,-0,0,,,'')":0.92,"MTD^FF_EPS(QTR_R,0)":13.9776,"MHK^FF_EPS(QTR_R,0)":0.6785,"MAS^JULIAN(FF_EPS(QTR_R,0).DATES)":46022,"IPG^FF_EPS(QTR_R,0)":0.3375,"HRL^FF_EPS(QTR_R,0)":0.3301,"GLW^FE_ESTIMATE(EPS,MEAN,QTR_ROLL,-0,0,,,'')":0.72,"GDDY^JULIAN(FF_EPS(QTR_R,0).DATES)":46022,"FLT^JULIAN(FF_EPS(QTR_R,0).DATES)":46022,"ESS^JULIAN(FF_EPS(QTR_R,0).DATES)":46022,"EMR^FE_ESTIMATE(EPS,MEAN,QTR_ROLL,-0,0,,,'')":1.46,"DE^FF_EPS(QTR_R,0)":2.4216,"CVX^FF_EPS(QTR_R,0)":1.3871,"CTAS^JULIAN(FF_EPS(QTR_R,0).DATES)":46080,"COR^FE_ESTIMATE(EPS,MEAN,QTR_ROLL,-0,0,,,'')":4.08,"CNC^JULIAN(FF_EPS(QTR_R,0).DATES)":46022,"CMCSA^JULIAN(FF_EPS(QTR_R,0).DATES)":46022,"CHTR^FF_EPS(QTR_R,0)":10.3314,"CEG^FE_ESTIMATE(EPS,MEAN,QTR_ROLL,-0,0,,,'')":2.3,"CCL^JULIAN(FF_EPS(QTR_R,0).DATES)":45989,"CAT^JULIAN(FF_EPS(QTR_R,0).DATES)":46022,"BR^FF_EPS(QTR_R,0)":2.418,"BKR^JULIAN(FF_EPS(QTR_R,0).DATES)":46022,"BF.B^FF_EPS(QTR_R,0)":0.5768,"BAX^JULIAN(FF_EPS(QTR_R,0).DATES)":46022,"AWK^FF_EPS(QTR_R,0)":1.2205,"ARE^FE_ESTIMATE(EPS,MEAN,QTR_ROLL,-0,0,,,'')":-6.35,"APA^JULIAN(FF_EPS(QTR_R,0).DATES)":46022,"AMT^FF_EPS(QTR_R,0)":1.752,"ALB^FF_EPS(QTR_R,0)":-3.8731,"AES^FE_ESTIMATE(EPS,MEAN,QTR_ROLL,-0,0,,,'')":0.81,"WM^FG_COMPANY_NAME":"Waste Management, Inc.","TYL^FG_COMPANY_NAME":"Tyler Technologies, Inc.","TFX^FG_COMPANY_NAME":"Teleflex Incorporated","RCL^FG_COMPANY_NAME":"Royal Caribbean Group","PPG^FG_COMPANY_NAME":"PPG Industries, Inc.","PEP^FG_COMPANY_NAME":"PepsiCo, Inc.","XYL^FE_ESTIMATE(EPS,MEAN,QTR_ROLL,-0,0,,,'')":1.42,"URI^FE_ESTIMATE(EPS,MEAN,QTR_ROLL,-0,0,,,'')":11.09,"TSLA^FF_EPS(QTR_R,0)":0.2374,"STLD^JULIAN(FF_EPS(QTR_R,0).DATES)":46022,"SBUX^FE_ESTIMATE(EPS,MEAN,QTR_ROLL,-0,0,,,'')":0.56,"RF^FF_EPS(QTR_R,0)":0.5841,"PSX^FF_EPS(QTR_R,0)":7.1826,"PLD^JULIAN(FF_EPS(QTR_R,0).DATES)":46022,"NOW^FF_EPS(QTR_R,0)":0.383,"MPC^JULIAN(FF_EPS(QTR_R,0).DATES)":46022,"MGM^FE_ESTIMATE(EPS,MEAN,QTR_ROLL,-0,0,,,'')":1.6,"MAR^FE_ESTIMATE(EPS,MEAN,QTR_ROLL,-0,0,,,'')":2.58,"LOW^FF_EPS(QTR_R,0)":1.7772,"KVUE^FE_ESTIMATE(EPS,MEAN,QTR_ROLL,-0,0,,,'')":0.27,"KEYS^JULIAN(FF_EPS(QTR_R,0).DATES)":46052,"HAL^JULIAN(FF_EPS(QTR_R,0).DATES)":46022,"GLW^FF_EPS(QTR_R,0)":0.62,"FITB^FE_ESTIMATE(EPS,MEAN,QTR_ROLL,-0,0,,,'')":1.04,"FCX^JULIAN(FF_EPS(QTR_R,0).DATES)":46022,"EXPD^JULIAN(FF_EPS(QTR_R,0).DATES)":46022,"EBAY^JULIAN(FF_EPS(QTR_R,0).DATES)":46022,"DTE^JULIAN(FF_EPS(QTR_R,0).DATES)":46022,"DHR^FF_EPS(QTR_R,0)":1.6835,"CSX^FE_ESTIMATE(EPS,MEAN,QTR_ROLL,-0,0,,,'')":0.39,"CRL^FF_EPS(QTR_R,0)":-5.6192,"CEG^FF_EPS(QTR_R,0)":1.3802,"CARR^FE_ESTIMATE(EPS,MEAN,QTR_ROLL,-0,0,,,'')":0.34,"BXP^JULIAN(FF_EPS(QTR_R,0).DATES)":46022,"BKNG^FE_ESTIMATE(EPS,MEAN,QTR_ROLL,-0,0,,,'')":48.8,"AOS^FE_ESTIMATE(EPS,MEAN,QTR_ROLL,-0,0,,,'')":0.9,"AMCR^JULIAN(FF_EPS(QTR_R,0).DATES)":46022,"ABT^FF_EPS(QTR_R,0)":1.0303,"ZBRA^FG_COMPANY_NAME":"Zebra Technologies Corporation Class A","WELL^FG_COMPANY_NAME":"Welltower Inc.","TXT^FG_COMPANY_NAME":"Textron Inc.","TFC^FG_COMPANY_NAME":"Truist Financial Corporation","STT^FG_COMPANY_NAME":"State Street Corporation","SBUX^FG_COMPANY_NAME":"Starbucks Corporation","POOL^FG_COMPANY_NAME":"Pool Corporation","NOC^FG_COMPANY_NAME":"Northrop Grumman Corp.","MSFT^FG_COMPANY_NAME":"Microsoft Corporation","MMC^FG_COMPANY_NAME":"Marsh & McLennan Companies, Inc.","IP^FG_COMPANY_NAME":"International Paper Company","HST^FG_COMPANY_NAME":"Host Hotels & Resorts, Inc.","GEN^FG_COMPANY_NAME":"Gen Digital Inc.","FITB^FG_COMPANY_NAME":"Fifth Third Bancorp","EXPE^FG_COMPANY_NAME":"Expedia Group, Inc.","DVN^FG_COMPANY_NAME":"Devon Energy Corporation","CTRA^FG_COMPANY_NAME":"Coterra Energy Inc.","COP^FG_COMPANY_NAME":"ConocoPhillips","BF.B^FG_COMPANY_NAME":"Brown-Forman Corporation Class B","AVGO^FG_COMPANY_NAME":"Broadcom Inc.","AMZN^FG_COMPANY_NAME":"Amazon.com, Inc.","TDY^FF_EPS(QTR_R,0)":5.839,"STE^FF_EPS(QTR_R,0)":1.9564,"RF^JULIAN(FF_EPS(QTR_R,0).DATES)":46022,"PRU^FE_ESTIMATE(EPS,MEAN,QTR_ROLL,-0,0,,,'')":3.3,"PKG^FF_EPS(QTR_R,0)":1.1284,"PAYX^FF_EPS(QTR_R,0)":1.5586,"O^FE_ESTIMATE(EPS,MEAN,QTR_ROLL,-0,0,,,'')":0.32,"MTD^JULIAN(FF_EPS(QTR_R,0).DATES)":46022,"MOS^FE_ESTIMATE(EPS,MEAN,QTR_ROLL,-0,0,,,'')":0.22,"J^FE_ESTIMATE(EPS,MEAN,QTR_ROLL,-0,0,,,'')":1.53,"HPQ^FF_EPS(QTR_R,0)":0.5848,"GWW^FE_ESTIMATE(EPS,MEAN,QTR_ROLL,-0,0,,,'')":9.44,"WAB^FE_ESTIMATE(EPS,MEAN,QTR_ROLL,-0,0,,,'')":2.1,"UPS^FF_EPS(QTR_R,0)":2.0996,"SBUX^FF_EPS(QTR_R,0)":0.2568,"PHM^FE_ESTIMATE(EPS,MEAN,QTR_ROLL,-0,0,,,'')":2.56,"PAYX^JULIAN(FF_EPS(QTR_R,0).DATES)":46080,"O^JULIAN(FF_EPS(QTR_R,0).DATES)":46022,"NOW^JULIAN(FF_EPS(QTR_R,0).DATES)":46022,"MTCH^FF_EPS(QTR_R,0)":0.8331,"LNT^FE_ESTIMATE(EPS,MEAN,QTR_ROLL,-0,0,,,'')":0.6,"KVUE^FF_EPS(QTR_R,0)":0.1719,"KEY^FE_ESTIMATE(EPS,MEAN,QTR_ROLL,-0,0,,,'')":0.43,"IP^FE_ESTIMATE(EPS,MEAN,QTR_ROLL,-0,0,,,'')":-0.08,"ICE^FF_EPS(QTR_R,0)":1.4878,"GWW^FF_EPS(QTR_R,0)":9.4748,"GLW^JULIAN(FF_EPS(QTR_R,0).DATES)":46022,"FTV^FE_ESTIMATE(EPS,MEAN,QTR_ROLL,-0,0,,,'')":0.9,"FITB^FF_EPS(QTR_R,0)":1.0446,"FCNCA^FE_ESTIMATE(EPS,MEAN,QTR_ROLL,-0,0,,,'')":51.27,"EMN^FE_ESTIMATE(EPS,MEAN,QTR_ROLL,-0,0,,,'')":0.75,"DHR^JULIAN(FF_EPS(QTR_R,0).DATES)":46022,"DD^FF_EPS(QTR_R,0)":-0.3046,"CVS^FE_ESTIMATE(EPS,MEAN,QTR_ROLL,-0,0,,,'')":1.09,"COR^JULIAN(FF_EPS(QTR_R,0).DATES)":46022,"CMS^JULIAN(FF_EPS(QTR_R,0).DATES)":46022,"BX^FF_EPS(QTR_R,0)":1.2962,"BEN^FE_ESTIMATE(EPS,MEAN,QTR_ROLL,-0,0,,,'')":0.7,"BAC^JULIAN(FF_EPS(QTR_R,0).DATES)":46022,"AVY^FF_EPS(QTR_R,0)":2.1499,"AES^JULIAN(FF_EPS(QTR_R,0).DATES)":46022,"ABT^JULIAN(FF_EPS(QTR_R,0).DATES)":46022,"YUM^FG_COMPANY_NAME":"Yum! Brands, Inc.","V^FG_COMPANY_NAME":"Visa Inc. Class A","TER^FG_COMPANY_NAME":"Teradyne, Inc.","SRE^FG_COMPANY_NAME":"Sempra","RVTY^FG_COMPANY_NAME":"Revvity, Inc.","NXPI^FG_COMPANY_NAME":"NXP Semiconductors NV","MS^FG_COMPANY_NAME":"Morgan Stanley","MLM^FG_COMPANY_NAME":"Martin Marietta Materials, Inc.","MAR^FG_COMPANY_NAME":"Marriott International, Inc. Class A","KLAC^FG_COMPANY_NAME":"KLA Corporation","HSIC^FG_COMPANY_NAME":"Henry Schein, Inc.","FIS^FG_COMPANY_NAME":"Fidelity National Information Services, Inc.","COO^FG_COMPANY_NAME":"Cooper Companies, Inc.","CI^FG_COMPANY_NAME":"Cigna Group","BRO^FG_COMPANY_NAME":"Brown & Brown, Inc.","AVB^FG_COMPANY_NAME":"AvalonBay Communities, Inc.","AJG^FG_COMPANY_NAME":"Arthur J. Gallagher & Co.","IP^JULIAN(FF_EPS(QTR_R,0).DATES)":46022,"TRV^JULIAN(FF_EPS(QTR_R,0).DATES)":46022,"TDG^FE_ESTIMATE(EPS,MEAN,QTR_ROLL,-0,0,,,'')":8.23,"REG^FF_EPS(QTR_R,0)":1.0871,"PRU^FF_EPS(QTR_R,0)":2.5506,"NXPI^FF_EPS(QTR_R,0)":1.8017,"MOS^FF_EPS(QTR_R,0)":-1.6367,"META^FE_ESTIMATE(EPS,MEAN,QTR_ROLL,-0,0,,,'')":8.88,"LNT^JULIAN(FF_EPS(QTR_R,0).DATES)":46022,"J^FF_EPS(QTR_R,0)":1.1192,"XEL^FE_ESTIMATE(EPS,MEAN,QTR_ROLL,-0,0,,,'')":0.96,"WAB^JULIAN(FF_EPS(QTR_R,0).DATES)":46022,"UPS^JULIAN(FF_EPS(QTR_R,0).DATES)":46022,"TDG^FF_EPS(QTR_R,0)":6.6323,"PHM^JULIAN(FF_EPS(QTR_R,0).DATES)":46022,"PAYC^FF_EPS(QTR_R,0)":2.0653,"NOC^FF_EPS(QTR_R,0)":10.0495,"MTCH^JULIAN(FF_EPS(QTR_R,0).DATES)":46022,"VZ^FE_ESTIMATE(EPS,MEAN,QTR_ROLL,-0,0,,,'')":1.09,"TROW^FF_EPS(QTR_R,0)":1.9881,"SRE^FF_EPS(QTR_R,0)":0.5374,"SBAC^JULIAN(FF_EPS(QTR_R,0).DATES)":46022,"REG^JULIAN(FF_EPS(QTR_R,0).DATES)":46022,"PARA^FE_ESTIMATE(EPS,MEAN,QTR_ROLL,-0,0,,,'')":-0.12,"MTB^FE_ESTIMATE(EPS,MEAN,QTR_ROLL,-0,0,,,'')":4.67,"KR^FE_ESTIMATE(EPS,MEAN,QTR_ROLL,-0,0,,,'')":1.28,"KDP^FE_ESTIMATE(EPS,MEAN,QTR_ROLL,-0,0,,,'')":0.6,"IVZ^FE_ESTIMATE(EPS,MEAN,QTR_ROLL,-0,0,,,'')":0.62,"INVH^FF_EPS(QTR_R,0)":0.1466,"HPE^FF_EPS(QTR_R,0)":0.312,"DOW^FE_ESTIMATE(EPS,MEAN,QTR_ROLL,-0,0,,,'')":-0.34,"CSGP^FF_EPS(QTR_R,0)":0.112,"COO^FF_EPS(QTR_R,0)":0.665,"CHRW^JULIAN(FF_EPS(QTR_R,0).DATES)":46022,"CDW^FE_ESTIMATE(EPS,MEAN,QTR_ROLL,-0,0,,,'')":2.57,"CBRE^FF_EPS(QTR_R,0)":1.3873,"CAH^FF_EPS(QTR_R,0)":1.9705,"BSX^FE_ESTIMATE(EPS,MEAN,QTR_ROLL,-0,0,,,'')":0.8,"BDX^FF_EPS(QTR_R,0)":1.3364,"AMGN^FF_EPS(QTR_R,0)":2.4549,"ADBE^FE_ESTIMATE(EPS,MEAN,QTR_ROLL,-0,0,,,'')":6.06,"ABBV^FF_EPS(QTR_R,0)":1.018,"TDG^FG_COMPANY_NAME":"TransDigm Group Incorporated","PYPL^FG_COMPANY_NAME":"PayPal Holdings, Inc.","PLTR^FG_COMPANY_NAME":"Palantir Technologies Inc. Class A","PAYC^FG_COMPANY_NAME":"Paycom Software, Inc.","NEE^FG_COMPANY_NAME":"NextEra Energy, Inc.","MRNA^FG_COMPANY_NAME":"Moderna, Inc.","MKC^FG_COMPANY_NAME":"McCormick & Company, Incorporated","J^FG_COMPANY_NAME":"Jacobs Solutions Inc.","IFF^FG_COMPANY_NAME":"International Flavors & Fragrances Inc.","GOOGL^FG_COMPANY_NAME":"Alphabet Inc. Class A","EMN^FG_COMPANY_NAME":"Eastman Chemical Company","DPZ^FG_COMPANY_NAME":"Domino's Pizza, Inc.","DD^FG_COMPANY_NAME":"DuPont de Nemours, Inc.","CRWD^FG_COMPANY_NAME":"CrowdStrike Holdings, Inc. Class A","CB^FG_COMPANY_NAME":"Chubb Limited","VTRS^FE_ESTIMATE(EPS,MEAN,QTR_ROLL,-0,0,,,'')":0.57,"ULTA^FF_EPS(QTR_R,0)":8.0114,"SPG^FE_ESTIMATE(EPS,MEAN,QTR_ROLL,-0,0,,,'')":9.35,"RVTY^JULIAN(FF_EPS(QTR_R,0).DATES)":46022,"RE^JULIAN(FF_EPS(QTR_R,0).DATES)":46022,"PARA^FF_EPS(QTR_R,0)":-0.5172,"NWSA^JULIAN(FF_EPS(QTR_R,0).DATES)":46022,"MSI^FF_EPS(QTR_R,0)":3.8608,"LLY^FE_ESTIMATE(EPS,MEAN,QTR_ROLL,-0,0,,,'')":7.54,"KO^FF_EPS(QTR_R,0)":0.5266,"IVZ^FF_EPS(QTR_R,0)":-2.629,"HON^FE_ESTIMATE(EPS,MEAN,QTR_ROLL,-0,0,,,'')":2.59,"FTNT^FF_EPS(QTR_R,0)":0.6765,"FICO^FE_ESTIMATE(EPS,MEAN,QTR_ROLL,-0,0,,,'')":7.33,"EVRG^FE_ESTIMATE(EPS,MEAN,QTR_ROLL,-0,0,,,'')":0.42,"EQIX^FE_ESTIMATE(EPS,MEAN,QTR_ROLL,-0,0,,,'')":2.69,"DGX^JULIAN(FF_EPS(QTR_R,0).DATES)":46022,"CTSH^FF_EPS(QTR_R,0)":1.3444,"CSGP^JULIAN(FF_EPS(QTR_R,0).DATES)":46022,"CPRT^JULIAN(FF_EPS(QTR_R,0).DATES)":46052,"CMI^FF_EPS(QTR_R,0)":4.2662,"CL^FF_EPS(QTR_R,0)":-0.046,"CHD^FE_ESTIMATE(EPS,MEAN,QTR_ROLL,-0,0,,,'')":0.86,"CDW^JULIAN(FF_EPS(QTR_R,0).DATES)":46022,"BIO^FF_EPS(QTR_R,0)":26.6548,"BDX^JULIAN(FF_EPS(QTR_R,0).DATES)":46022,"BA^FF_EPS(QTR_R,0)":10.1182,"AVB^FE_ESTIMATE(EPS,MEAN,QTR_ROLL,-0,0,,,'')":1.17,"ANSS^FF_EPS(QTR_R,0)":0.5885,"ALLE^FF_EPS(QTR_R,0)":1.7032,"AIZ^FE_ESTIMATE(EPS,MEAN,QTR_ROLL,-0,0,,,'')":5.61,"AEP^JULIAN(FF_EPS(QTR_R,0).DATES)":46022,"XOM^FG_COMPANY_NAME":"Exxon Mobil Corporation","WAB^FG_COMPANY_NAME":"Westinghouse Air Brake Technologies Corporation","TRV^FG_COMPANY_NAME":"Travelers Companies, Inc.","PXD^FG_COMPANY_NAME":"Pioneer Natural Resources Company","LYV^FG_COMPANY_NAME":"Live Nation Entertainment, Inc.","KEYS^FG_COMPANY_NAME":"Keysight Technologies Inc","HPQ^FG_COMPANY_NAME":"HP Inc.","GOOG^FG_COMPANY_NAME":"Alphabet Inc. Class C","EVRG^FG_COMPANY_NAME":"Evergy, Inc.","EIX^FG_COMPANY_NAME":"Edison International","CNP^FG_COMPANY_NAME":"CenterPoint Energy, Inc.","CFG^FG_COMPANY_NAME":"Citizens Financial Group, Inc.","BBWI^FG_COMPANY_NAME":"Bath & Body Works, Inc.","APTV^FG_COMPANY_NAME":"Aptiv PLC","AME^FG_COMPANY_NAME":"AMETEK, Inc.","AIG^FG_COMPANY_NAME":"American International Group, Inc.","ABNB^FG_COMPANY_NAME":"Airbnb, Inc. Class A","WMT^FE_ESTIMATE(EPS,MEAN,QTR_ROLL,-0,0,,,'')":0.74,"SYF^FE_ESTIMATE(EPS,MEAN,QTR_ROLL,-0,0,,,'')":2.04,"ORLY^FF_EPS(QTR_R,0)":0.7134,"MOS^JULIAN(FF_EPS(QTR_R,0).DATES)":46022,"LH^FE_ESTIMATE(EPS,MEAN,QTR_ROLL,-0,0,,,'')":4.07,"JNPR^JULIAN(FF_EPS(QTR_R,0).DATES)":45838,"INCY^FF_EPS(QTR_R,0)":1.4616,"HST^FF_EPS(QTR_R,0)":0.1955,"GOOGL^FF_EPS(QTR_R,0)":2.8177,"FE^FE_ESTIMATE(EPS,MEAN,QTR_ROLL,-0,0,,,'')":0.53,"EXC^FF_EPS(QTR_R,0)":0.5848,"EBAY^FE_ESTIMATE(EPS,MEAN,QTR_ROLL,-0,0,,,'')":1.41,"CRM^FF_EPS(QTR_R,0)":2.067,"CHRW^FE_ESTIMATE(EPS,MEAN,QTR_ROLL,-0,0,,,'')":1.23,"CARR^JULIAN(FF_EPS(QTR_R,0).DATES)":46022,"BBY^FF_EPS(QTR_R,0)":2.5616,"AWK^FE_ESTIMATE(EPS,MEAN,QTR_ROLL,-0,0,,,'')":1.22,"ALLE^FE_ESTIMATE(EPS,MEAN,QTR_ROLL,-0,0,,,'')":1.94,"AIG^FE_ESTIMATE(EPS,MEAN,QTR_ROLL,-0,0,,,'')":1.96,"SNPS^FG_COMPANY_NAME":"Synopsys, Inc.","PLD^FG_COMPANY_NAME":"Prologis, Inc.","NKE^FG_COMPANY_NAME":"NIKE, Inc. Class B","LMT^FG_COMPANY_NAME":"Lockheed Martin Corporation","KEY^FG_COMPANY_NAME":"KeyCorp","IQV^FG_COMPANY_NAME":"IQVIA Holdings Inc","GNRC^FG_COMPANY_NAME":"Generac Holdings Inc.","ED^FG_COMPANY_NAME":"Consolidated Edison, Inc.","DHI^FG_COMPANY_NAME":"D.R. Horton, Inc.","CTLT^FG_COMPANY_NAME":"Catalent Inc","CMG^FG_COMPANY_NAME":"Chipotle Mexican Grill, Inc.","BAX^FG_COMPANY_NAME":"Baxter International Inc.","AOS^FG_COMPANY_NAME":"A. O. Smith Corporation","AKAM^FG_COMPANY_NAME":"Akamai Technologies, Inc.","WMT^FF_EPS(QTR_R,0)":0.529,"GOOGL^JULIAN(FF_EPS(QTR_R,0).DATES)":46022,"DOV^FE_ESTIMATE(EPS,MEAN,QTR_ROLL,-0,0,,,'')":2.51,"COF^FE_ESTIMATE(EPS,MEAN,QTR_ROLL,-0,0,,,'')":3.86,"CHRW^FF_EPS(QTR_R,0)":1.1205,"BRO^FE_ESTIMATE(EPS,MEAN,QTR_ROLL,-0,0,,,'')":0.93,"BBY^JULIAN(FF_EPS(QTR_R,0).DATES)":46052,"APH^JULIAN(FF_EPS(QTR_R,0).DATES)":46022,"REG^FG_COMPANY_NAME":"Regency Centers Corporation","MCO^FG_COMPANY_NAME":"Moody's Corporation","EXC^FG_COMPANY_NAME":"Exelon Corporation","ROP^JULIAN(FF_EPS(QTR_R,0).DATES)":46022,"AFL^FF_EPS(QTR_R,0)":2.6393,"MPC^FG_COMPANY_NAME":"Marathon Petroleum Corporation","BMY^FG_COMPANY_NAME":"Bristol-Myers Squibb Company","CBOE^FG_COMPANY_NAME":"Cboe Global Markets Inc","BIIB^FF_EPS(QTR_R,0)":-0.3333,"ADSK^FG_COMPANY_NAME":"Autodesk, Inc.","UAL^FF_EPS(QTR_R,0)":3.1927,"ROP^FF_EPS(QTR_R,0)":3.974,"NEM^FE_ESTIMATE(EPS,MEAN,QTR_ROLL,-0,0,,,'')":2.52,"MCHP^JULIAN(FF_EPS(QTR_R,0).DATES)":46022,"JNJ^FE_ESTIMATE(EPS,MEAN,QTR_ROLL,-0,0,,,'')":2.46,"INCY^JULIAN(FF_EPS(QTR_R,0).DATES)":46022,"HPE^FE_ESTIMATE(EPS,MEAN,QTR_ROLL,-0,0,,,'')":0.65,"FTV^JULIAN(FF_EPS(QTR_R,0).DATES)":46022,"EXC^JULIAN(FF_EPS(QTR_R,0).DATES)":46022,"EA^FE_ESTIMATE(EPS,MEAN,QTR_ROLL,-0,0,,,'')":4.875692,"DECK^JULIAN(FF_EPS(QTR_R,0).DATES)":46022,"CTSH^JULIAN(FF_EPS(QTR_R,0).DATES)":46022,"CMCSA^FE_ESTIMATE(EPS,MEAN,QTR_ROLL,-0,0,,,'')":0.84,"CAH^FE_ESTIMATE(EPS,MEAN,QTR_ROLL,-0,0,,,'')":2.63,"BK^FE_ESTIMATE(EPS,MEAN,QTR_ROLL,-0,0,,,'')":2.02,"AIG^FF_EPS(QTR_R,0)":1.3452,"NI^FG_COMPANY_NAME":"NiSource Inc","CDNS^FG_COMPANY_NAME":"Cadence Design Systems, Inc.","BAC^FG_COMPANY_NAME":"Bank of America Corp","PNW^JULIAN(FF_EPS(QTR_R,0).DATES)":46022,"MMM^JULIAN(FF_EPS(QTR_R,0).DATES)":46022,"LH^FF_EPS(QTR_R,0)":1.9796,"GOOG^FF_EPS(QTR_R,0)":2.8177,"DOV^FF_EPS(QTR_R,0)":2.0616,"DAY^FF_EPS(QTR_R,0)":-1.2315,"ADBE^FF_EPS(QTR_R,0)":4.5961,"QRVO^FG_COMPANY_NAME":"Qorvo, Inc.","OMC^FG_COMPANY_NAME":"Omnicom Group Inc","NFLX^FG_COMPANY_NAME":"Netflix, Inc.","KDP^FG_COMPANY_NAME":"Keurig Dr Pepper Inc.","IPG^FG_COMPANY_NAME":"Interpublic Group of Companies, Inc.","HRL^FG_COMPANY_NAME":"Hormel Foods Corporation","EW^FG_COMPANY_NAME":"Edwards Lifesciences Corporation","DG^FG_COMPANY_NAME":"Dollar General Corporation","AZO^FG_COMPANY_NAME":"AutoZone, Inc.","AON^FG_COMPANY_NAME":"Aon Plc Class A","DE^FG_COMPANY_NAME":"Deere & Company","CMA^FG_COMPANY_NAME":"Comerica Incorporated","BKR^FG_COMPANY_NAME":"Baker Hughes Company Class A","VST^FG_COMPANY_NAME":"Vistra Corp.","PSA^FG_COMPANY_NAME":"Public Storage","JCI^FG_COMPANY_NAME":"Johnson Controls International plc","TMO^JULIAN(FF_EPS(QTR_R,0).DATES)":46022,"CSX^FF_EPS(QTR_R,0)":0.3863,"BMY^FF_EPS(QTR_R,0)":0.5326,"AOS^JULIAN(FF_EPS(QTR_R,0).DATES)":46022,"WYNN^FG_COMPANY_NAME":"Wynn Resorts, Limited","PEG^FG_COMPANY_NAME":"Public Service Enterprise Group Inc","MTD^FG_COMPANY_NAME":"Mettler-Toledo International Inc.","FDS^FG_COMPANY_NAME":"FactSet Research Systems Inc.","BK^FG_COMPANY_NAME":"Bank of New York Mellon Corp","ISRG^FF_EPS(QTR_R,0)":2.2053,"ESS^FF_EPS(QTR_R,0)":1.2507,"CSX^JULIAN(FF_EPS(QTR_R,0).DATES)":46022,"CF^JULIAN(FF_EPS(QTR_R,0).DATES)":46022,"AON^JULIAN(FF_EPS(QTR_R,0).DATES)":46022,"VRSK^FG_COMPANY_NAME":"Verisk Analytics, Inc.","WMT^JULIAN(FF_EPS(QTR_R,0).DATES)":46052,"CPRT^FG_COMPANY_NAME":"Copart, Inc.","UAL^JULIAN(FF_EPS(QTR_R,0).DATES)":46022,"SYF^JULIAN(FF_EPS(QTR_R,0).DATES)":46022,"ORCL^FE_ESTIMATE(EPS,MEAN,QTR_ROLL,-0,0,,,'')":1.79,"LW^JULIAN(FF_EPS(QTR_R,0).DATES)":45989,"LEN^FE_ESTIMATE(EPS,MEAN,QTR_ROLL,-0,0,,,'')":0.93,"ILMN^FE_ESTIMATE(EPS,MEAN,QTR_ROLL,-0,0,,,'')":1.35,"HD^JULIAN(FF_EPS(QTR_R,0).DATES)":46052,"GOOG^JULIAN(FF_EPS(QTR_R,0).DATES)":46022,"FOXA^FE_ESTIMATE(EPS,MEAN,QTR_ROLL,-0,0,,,'')":0.82,"FE^JULIAN(FF_EPS(QTR_R,0).DATES)":46022,"CTRA^FE_ESTIMATE(EPS,MEAN,QTR_ROLL,-0,0,,,'')":0.39,"CPT^FF_EPS(QTR_R,0)":1.4335,"CFG^FE_ESTIMATE(EPS,MEAN,QTR_ROLL,-0,0,,,'')":1.13,"CAH^JULIAN(FF_EPS(QTR_R,0).DATES)":46022,"BRO^JULIAN(FF_EPS(QTR_R,0).DATES)":46022,"BIO^FE_ESTIMATE(EPS,MEAN,QTR_ROLL,-0,0,,,'')":2.51,"BBWI^FE_ESTIMATE(EPS,MEAN,QTR_ROLL,-0,0,,,'')":2.05,"APD^FF_EPS(QTR_R,0)":3.0426,"AMT^JULIAN(FF_EPS(QTR_R,0).DATES)":46022,"ALL^JULIAN(FF_EPS(QTR_R,0).DATES)":46022,"A^FE_ESTIMATE(EPS,MEAN,QTR_ROLL,-0,0,,,'')":1.36,"VZ^FG_COMPANY_NAME":"Verizon Communications Inc.","SHW^FG_COMPANY_NAME":"Sherwin-Williams Company","QCOM^FG_COMPANY_NAME":"QUALCOMM Incorporated","ODFL^FG_COMPANY_NAME":"Old Dominion Freight Line, Inc.","MCK^FG_COMPANY_NAME":"McKesson Corporation","GLW^FG_COMPANY_NAME":"Corning Inc","FLT^FG_COMPANY_NAME":"Corpay, Inc.","CRM^FG_COMPANY_NAME":"Salesforce, Inc.","CMCSA^FG_COMPANY_NAME":"Comcast Corporation Class A","BLDR^FG_COMPANY_NAME":"Builders FirstSource, Inc.","ANSS^FG_COMPANY_NAME":"ANSYS, Inc.","AIZ^FG_COMPANY_NAME":"Assurant, Inc.","CTLT^FE_ESTIMATE(EPS,MEAN,QTR_ROLL,-0,0,,,'')":null,"CPRT^FF_EPS(QTR_R,0)":0.3597,"CLX^FF_EPS(QTR_R,0)":1.2878,"CFG^JULIAN(FF_EPS(QTR_R,0).DATES)":46022,"C^FE_ESTIMATE(EPS,MEAN,QTR_ROLL,-0,0,,,'')":1.19,"BIO^JULIAN(FF_EPS(QTR_R,0).DATES)":46022,"BBWI^FF_EPS(QTR_R,0)":1.9852,"AMP^FF_EPS(QTR_R,0)":10.4673,"ACN^FE_ESTIMATE(EPS,MEAN,QTR_ROLL,-0,0,,,'')":2.933491,"SEE^FG_COMPANY_NAME":"Sealed Air Corporation","NCLH^FG_COMPANY_NAME":"Norwegian Cruise Line Holdings Ltd.","CRL^FG_COMPANY_NAME":"Charles River Laboratories International, Inc.","AWK^FG_COMPANY_NAME":"American Water Works Company, Inc.","HBAN^FG_COMPANY_NAME":"Huntington Bancshares Incorporated","DXCM^FG_COMPANY_NAME":"DexCom, Inc.","MKTX^FF_EPS(QTR_R,0)":2.5144,"CL^JULIAN(FF_EPS(QTR_R,0).DATES)":46022,"AEE^JULIAN(FF_EPS(QTR_R,0).DATES)":46022,"VRTX^FG_COMPANY_NAME":"Vertex Pharmaceuticals Incorporated","GEHC^FG_COMPANY_NAME":"GE Healthcare Technologies Inc.","AMD^FG_COMPANY_NAME":"Advanced Micro Devices, Inc.","PYPL^FE_ESTIMATE(EPS,MEAN,QTR_ROLL,-0,0,,,'')":1.23,"GEV^JULIAN(FF_EPS(QTR_R,0).DATES)":46022,"CZR^JULIAN(FF_EPS(QTR_R,0).DATES)":46022,"BLK^JULIAN(FF_EPS(QTR_R,0).DATES)":46022,"AME^JULIAN(FF_EPS(QTR_R,0).DATES)":46022,"ADSK^FF_EPS(QTR_R,0)":1.4766,"WY^FG_COMPANY_NAME":"Weyerhaeuser Company","PRU^FG_COMPANY_NAME":"Prudential Financial, Inc.","WM^FF_EPS(QTR_R,0)":1.8344,"TYL^JULIAN(FF_EPS(QTR_R,0).DATES)":46022,"PNR^FE_ESTIMATE(EPS,MEAN,QTR_ROLL,-0,0,,,'')":1.18,"ORCL^FF_EPS(QTR_R,0)":1.2703,"NDSN^FE_ESTIMATE(EPS,MEAN,QTR_ROLL,-0,0,,,'')":2.37,"JKHY^FE_ESTIMATE(EPS,MEAN,QTR_ROLL,-0,0,,,'')":1.72,"FDX^FE_ESTIMATE(EPS,MEAN,QTR_ROLL,-0,0,,,'')":5.25,"ENPH^JULIAN(FF_EPS(QTR_R,0).DATES)":46022,"DLTR^FF_EPS(QTR_R,0)":2.533,"COF^JULIAN(FF_EPS(QTR_R,0).DATES)":46022,"CMA^FE_ESTIMATE(EPS,MEAN,QTR_ROLL,-0,0,,,'')":1.27,"CCL^FF_EPS(QTR_R,0)":0.3136,"CAG^FE_ESTIMATE(EPS,MEAN,QTR_ROLL,-0,0,,,'')":0.45,"BRK.B^FF_EPS(QTR_R,0)":8.8994,"AVGO^FF_EPS(QTR_R,0)":1.5035,"AMP^FE_ESTIMATE(EPS,MEAN,QTR_ROLL,-0,0,,,'')":10.83,"ADBE^JULIAN(FF_EPS(QTR_R,0).DATES)":46080,"A^JULIAN(FF_EPS(QTR_R,0).DATES)":46052,"VTRS^FG_COMPANY_NAME":"Viatris, Inc.","UAL^FG_COMPANY_NAME":"United Airlines Holdings, Inc.","SYY^FG_COMPANY_NAME":"Sysco Corporation","PG^FG_COMPANY_NAME":"Procter & Gamble Company","MO^FG_COMPANY_NAME":"Altria Group, Inc.","GL^FG_COMPANY_NAME":"Globe Life Inc.","ETR^FG_COMPANY_NAME":"Entergy Corporation","EBAY^FG_COMPANY_NAME":"eBay Inc.","DECK^FG_COMPANY_NAME":"Deckers Outdoor Corporation","CBRE^FG_COMPANY_NAME":"CBRE Group, Inc. Class A","AES^FG_COMPANY_NAME":"AES Corporation","AAPL^FG_COMPANY_NAME":"Apple Inc.","SWK^FE_ESTIMATE(EPS,MEAN,QTR_ROLL,-0,0,,,'')":1.41,"LVS^FE_ESTIMATE(EPS,MEAN,QTR_ROLL,-0,0,,,'')":0.85,"JCI^FE_ESTIMATE(EPS,MEAN,QTR_ROLL,-0,0,,,'')":0.89,"GL^FE_ESTIMATE(EPS,MEAN,QTR_ROLL,-0,0,,,'')":3.39,"BRK.B^JULIAN(FF_EPS(QTR_R,0).DATES)":46022,"VTR^FG_COMPANY_NAME":"Ventas, Inc.","VRSN^FE_ESTIMATE(EPS,MEAN,QTR_ROLL,-0,0,,,'')":2.23,"DUK^FG_COMPANY_NAME":"Duke Energy Corporation","WFC^FF_EPS(QTR_R,0)":1.6189,"ROL^JULIAN(FF_EPS(QTR_R,0).DATES)":46022,"ILMN^FF_EPS(QTR_R,0)":2.1688,"HCA^FE_ESTIMATE(EPS,MEAN,QTR_ROLL,-0,0,,,'')":8.01,"FOXA^FF_EPS(QTR_R,0)":0.5193,"ETR^FF_EPS(QTR_R,0)":0.5141,"DAL^FE_ESTIMATE(EPS,MEAN,QTR_ROLL,-0,0,,,'')":1.55,"CCI^FE_ESTIMATE(EPS,MEAN,QTR_ROLL,-0,0,,,'')":0.67,"ALGN^JULIAN(FF_EPS(QTR_R,0).DATES)":46022,"MNST^FG_COMPANY_NAME":"Monster Beverage Corporation","LYB^FG_COMPANY_NAME":"LyondellBasell Industries NV","BG^FF_EPS(QTR_R,0)":0.4872,"TXT^JULIAN(FF_EPS(QTR_R,0).DATES)":46022,"ROK^FF_EPS(QTR_R,0)":2.6926,"PNR^FF_EPS(QTR_R,0)":1.0085,"ON^FE_ESTIMATE(EPS,MEAN,QTR_ROLL,-0,0,,,'')":0.64,"MMC^JULIAN(FF_EPS(QTR_R,0).DATES)":46022,"FCNCA^FF_EPS(QTR_R,0)":45.7817,"DVA^FF_EPS(QTR_R,0)":2.9359,"DIS^JULIAN(FF_EPS(QTR_R,0).DATES)":46022,"DAL^FF_EPS(QTR_R,0)":1.8582,"CPB^FE_ESTIMATE(EPS,MEAN,QTR_ROLL,-0,0,,,'')":0.51,"CNP^FE_ESTIMATE(EPS,MEAN,QTR_ROLL,-0,0,,,'')":0.45,"CCI^FF_EPS(QTR_R,0)":1.2723,"BR^JULIAN(FF_EPS(QTR_R,0).DATES)":46022,"AVB^FF_EPS(QTR_R,0)":1.1675,"APA^FF_EPS(QTR_R,0)":0.7859,"AEP^FE_ESTIMATE(EPS,MEAN,QTR_ROLL,-0,0,,,'')":1.19,"ACGL^FE_ESTIMATE(EPS,MEAN,QTR_ROLL,-0,0,,,'')":2.98,"SYK^FG_COMPANY_NAME":"Stryker Corporation","SCHW^FG_COMPANY_NAME":"Charles Schwab Corp","PFE^FG_COMPANY_NAME":"Pfizer Inc.","NWSA^FG_COMPANY_NAME":"News Corporation Class A","MA^FG_COMPANY_NAME":"Mastercard Incorporated Class A","L^FG_COMPANY_NAME":"Loews Corporation","ILMN^FG_COMPANY_NAME":"Illumina, Inc.","HCA^FG_COMPANY_NAME":"HCA Healthcare Inc","AMGN^FG_COMPANY_NAME":"Amgen Inc.","AEE^FG_COMPANY_NAME":"Ameren Corporation","A^FG_COMPANY_NAME":"Agilent Technologies, Inc.","WELL^JULIAN(FF_EPS(QTR_R,0).DATES)":46022,"TXN^FF_EPS(QTR_R,0)":1.2689,"PM^FE_ESTIMATE(EPS,MEAN,QTR_ROLL,-0,0,,,'')":1.7,"NDAQ^FF_EPS(QTR_R,0)":0.9003,"MLM^FF_EPS(QTR_R,0)":4.6116,"LVS^FF_EPS(QTR_R,0)":0.5826,"KMI^JULIAN(FF_EPS(QTR_R,0).DATES)":46022,"ISRG^FE_ESTIMATE(EPS,MEAN,QTR_ROLL,-0,0,,,'')":2.53,"IFF^FE_ESTIMATE(EPS,MEAN,QTR_ROLL,-0,0,,,'')":0.8,"HCA^FF_EPS(QTR_R,0)":8.1401,"FOXA^JULIAN(FF_EPS(QTR_R,0).DATES)":46022,"ESS^FE_ESTIMATE(EPS,MEAN,QTR_ROLL,-0,0,,,'')":1.25,"EMN^JULIAN(FF_EPS(QTR_R,0).DATES)":46022,"D^FE_ESTIMATE(EPS,MEAN,QTR_ROLL,-0,0,,,'')":0.68,"CTAS^FE_ESTIMATE(EPS,MEAN,QTR_ROLL,-0,0,,,'')":1.24,"CF^FE_ESTIMATE(EPS,MEAN,QTR_ROLL,-0,0,,,'')":2.724529,"CCI^JULIAN(FF_EPS(QTR_R,0).DATES)":46022,"BMY^FE_ESTIMATE(EPS,MEAN,QTR_ROLL,-0,0,,,'')":1.26,"AME^FF_EPS(QTR_R,0)":1.7304,"ALB^FE_ESTIMATE(EPS,MEAN,QTR_ROLL,-0,0,,,'')":-0.53,"TSLA^FG_COMPANY_NAME":"Tesla, Inc.","IEX^FG_COMPANY_NAME":"IDEX Corporation","CPT^FG_COMPANY_NAME":"Camden Property Trust","NVDA^JULIAN(FF_EPS(QTR_R,0).DATES)":46052,"ICE^JULIAN(FF_EPS(QTR_R,0).DATES)":46022,"DVA^JULIAN(FF_EPS(QTR_R,0).DATES)":46022,"BXP^FE_ESTIMATE(EPS,MEAN,QTR_ROLL,-0,0,,,'')":1.56,"ATVI^FE_ESTIMATE(EPS,MEAN,QTR_ROLL,-0,0,,,'')":null,"TSCO^FG_COMPANY_NAME":"Tractor Supply Company","CL^FG_COMPANY_NAME":"Colgate-Palmolive Company","LUV^FE_ESTIMATE(EPS,MEAN,QTR_ROLL,-0,0,,,'')":0.58,"FOX^FF_EPS(QTR_R,0)":0.5193,"EFX^FE_ESTIMATE(EPS,MEAN,QTR_ROLL,-0,0,,,'')":2.09,"CBOE^JULIAN(FF_EPS(QTR_R,0).DATES)":46022,"ATVI^FF_EPS(QTR_R,0)":0.7393,"ABT^FE_ESTIMATE(EPS,MEAN,QTR_ROLL,-0,0,,,'')":1.5,"VLTO^FF_EPS(QTR_R,0)":1.014,"TGT^FF_EPS(QTR_R,0)":2.2984,"SLB^FF_EPS(QTR_R,0)":0.5453,"PXD^JULIAN(FF_EPS(QTR_R,0).DATES)":45379,"NTRS^FF_EPS(QTR_R,0)":2.4234,"LHX^JULIAN(FF_EPS(QTR_R,0).DATES)":46022,"IR^FF_EPS(QTR_R,0)":0.6723,"HSY^JULIAN(FF_EPS(QTR_R,0).DATES)":46022,"GOOGL^FE_ESTIMATE(EPS,MEAN,QTR_ROLL,-0,0,,,'')":2.82,"EQIX^FF_EPS(QTR_R,0)":2.6937,"DPZ^FF_EPS(QTR_R,0)":5.349,"CTVA^FF_EPS(QTR_R,0)":-0.8181,"CRWD^JULIAN(FF_EPS(QTR_R,0).DATES)":46052,"COR^FF_EPS(QTR_R,0)":2.8653,"CDNS^FE_ESTIMATE(EPS,MEAN,QTR_ROLL,-0,0,,,'')":1.99,"BSX^FF_EPS(QTR_R,0)":0.4493,"AXP^JULIAN(FF_EPS(QTR_R,0).DATES)":46022,"AMAT^FF_EPS(QTR_R,0)":2.5357,"AIZ^JULIAN(FF_EPS(QTR_R,0).DATES)":46022,"ADP^FF_EPS(QTR_R,0)":2.6242,"WMB^FG_COMPANY_NAME":"Williams Companies, Inc.","UNH^FG_COMPANY_NAME":"UnitedHealth Group Incorporated","TMO^FG_COMPANY_NAME":"Thermo Fisher Scientific Inc.","SPGI^FG_COMPANY_NAME":"S&P Global, Inc.","RL^FG_COMPANY_NAME":"Ralph Lauren Corporation Class A","PM^FG_COMPANY_NAME":"Philip Morris International Inc.","MRO^FG_COMPANY_NAME":"Marathon Oil Corporation","IR^FG_COMPANY_NAME":"Ingersoll Rand Inc.","DLTR^FG_COMPANY_NAME":"Dollar Tree, Inc.","CTSH^FG_COMPANY_NAME":"Cognizant Technology Solutions Corporation Class A","COF^FG_COMPANY_NAME":"Capital One Financial Corp","CEG^FG_COMPANY_NAME":"Constellation Energy Corporation","APA^FG_COMPANY_NAME":"APA Corporation","ALB^FG_COMPANY_NAME":"Albemarle Corporation","ADI^FG_COMPANY_NAME":"Analog Devices, Inc.","VLTO^JULIAN(FF_EPS(QTR_R,0).DATES)":46022,"TFC^FE_ESTIMATE(EPS,MEAN,QTR_ROLL,-0,0,,,'')":1.0,"SJM^FE_ESTIMATE(EPS,MEAN,QTR_ROLL,-0,0,,,'')":2.38,"NTAP^FE_ESTIMATE(EPS,MEAN,QTR_ROLL,-0,0,,,'')":2.12,"MRNA^JULIAN(FF_EPS(QTR_R,0).DATES)":46022,"MCK^FE_ESTIMATE(EPS,MEAN,QTR_ROLL,-0,0,,,'')":9.34,"JNPR^FF_EPS(QTR_R,0)":0.21,"HST^FE_ESTIMATE(EPS,MEAN,QTR_ROLL,-0,0,,,'')":0.2,"FFIV^FF_EPS(QTR_R,0)":3.0956,"EXR^JULIAN(FF_EPS(QTR_R,0).DATES)":46022,"EQIX^JULIAN(FF_EPS(QTR_R,0).DATES)":46022,"DOW^JULIAN(FF_EPS(QTR_R,0).DATES)":46022,"DFS^FF_EPS(QTR_R,0)":4.2421,"CRM^FE_ESTIMATE(EPS,MEAN,QTR_ROLL,-0,0,,,'')":3.81,"CME^FF_EPS(QTR_R,0)":3.2424,"CHTR^JULIAN(FF_EPS(QTR_R,0).DATES)":46022,"BSX^JULIAN(FF_EPS(QTR_R,0).DATES)":46022,"BKR^FF_EPS(QTR_R,0)":0.8813,"APTV^FF_EPS(QTR_R,0)":0.6385,"AMZN^FE_ESTIMATE(EPS,MEAN,QTR_ROLL,-0,0,,,'')":1.95,"AMAT^JULIAN(FF_EPS(QTR_R,0).DATES)":46052,"ADM^JULIAN(FF_EPS(QTR_R,0).DATES)":46022,"AAPL^FF_EPS(QTR_R,0)":2.8424,"TGT^FG_COMPANY_NAME":"Target Corporation","SO^FG_COMPANY_NAME":"Southern Company","RJF^FG_COMPANY_NAME":"Raymond James Financial, Inc.","ORLY^FG_COMPANY_NAME":"O'Reilly Automotive, Inc.","MRK^FG_COMPANY_NAME":"Merck & Co., Inc.","MDLZ^FG_COMPANY_NAME":"Mondelez International, Inc. Class A","LNT^FG_COMPANY_NAME":"Alliant Energy Corporation","HSY^FG_COMPANY_NAME":"Hershey Company","FOXA^FG_COMPANY_NAME":"Fox Corporation Class A","DIS^FG_COMPANY_NAME":"Walt Disney Company","CNC^FG_COMPANY_NAME":"Centene Corporation","BWA^FG_COMPANY_NAME":"BorgWarner Inc.","ADI^JULIAN(FF_EPS(QTR_R,0).DATES)":46052,"AAPL^JULIAN(FF_EPS(QTR_R,0).DATES)":46022,"UDR^FG_COMPANY_NAME":"UDR, Inc.","ON^FG_COMPANY_NAME":"ON Semiconductor Corporation","MPWR^FG_COMPANY_NAME":"Monolithic Power Systems, Inc.","FMC^FG_COMPANY_NAME":"FMC Corporation","DGX^FG_COMPANY_NAME":"Quest Diagnostics Incorporated","BRK.B^FG_COMPANY_NAME":"Berkshire Hathaway Inc. Class B","SYF^FF_EPS(QTR_R,0)":2.0414,"NEE^JULIAN(FF_EPS(QTR_R,0).DATES)":46022,"MAA^JULIAN(FF_EPS(QTR_R,0).DATES)":46022,"FE^FF_EPS(QTR_R,0)":-0.0848,"EW^FE_ESTIMATE(EPS,MEAN,QTR_ROLL,-0,0,,,'')":0.58,"EA^FF_EPS(QTR_R,0)":0.3478,"DD^FE_ESTIMATE(EPS,MEAN,QTR_ROLL,-0,0,,,'')":0.46,"CRM^JULIAN(FF_EPS(QTR_R,0).DATES)":46052,"CMCSA^FF_EPS(QTR_R,0)":0.5963,"BK^JULIAN(FF_EPS(QTR_R,0).DATES)":46022,"ALL^FE_ESTIMATE(EPS,MEAN,QTR_ROLL,-0,0,,,'')":14.31,"WBA^FG_COMPANY_NAME":"Walgreens Boots Alliance, Inc.","UBER^FG_COMPANY_NAME":"Uber Technologies, Inc.","PKG^FG_COMPANY_NAME":"Packaging Corporation of America","LKQ^FG_COMPANY_NAME":"LKQ Corporation","ECL^FG_COMPANY_NAME":"Ecolab Inc.","CCL^FG_COMPANY_NAME":"Carnival Corporation","ABBV^FG_COMPANY_NAME":"AbbVie, Inc.","JNJ^FG_COMPANY_NAME":"Johnson & Johnson","XYL^FG_COMPANY_NAME":"Xylem Inc.","EQT^FG_COMPANY_NAME":"EQT Corporation","CLX^FG_COMPANY_NAME":"Clorox Company","LVS^JULIAN(FF_EPS(QTR_R,0).DATES)":46022,"CPB^FF_EPS(QTR_R,0)":0.485,"CBOE^FF_EPS(QTR_R,0)":2.9733,"SYF^FG_COMPANY_NAME":"Synchrony Financial","NVDA^FG_COMPANY_NAME":"NVIDIA Corporation","JBL^FG_COMPANY_NAME":"Jabil Inc.","CZR^FG_COMPANY_NAME":"Caesars Entertainment, Inc.","VRSN^FF_EPS(QTR_R,0)":2.2268,"F^JULIAN(FF_EPS(QTR_R,0).DATES)":46022,"BA^FE_ESTIMATE(EPS,MEAN,QTR_ROLL,-0,0,,,'')":9.92,"VRSK^FF_EPS(QTR_R,0)":1.4176,"MCO^FF_EPS(QTR_R,0)":3.4135,"HUBB^JULIAN(FF_EPS(QTR_R,0).DATES)":46022,"CMI^JULIAN(FF_EPS(QTR_R,0).DATES)":46022,"TRGP^FG_COMPANY_NAME":"Targa Resources Corp.","PEAK^FG_COMPANY_NAME":"Healthpeak Properties, Inc.","MKTX^FG_COMPANY_NAME":"MarketAxess Holdings Inc.","PFE^FF_EPS(QTR_R,0)":-0.2898,"EXR^FF_EPS(QTR_R,0)":1.2981,"DFS^FE_ESTIMATE(EPS,MEAN,QTR_ROLL,-0,0,,,'')":null,"CMG^FF_EPS(QTR_R,0)":0.2507,"BWA^FF_EPS(QTR_R,0)":-1.2654,"ARE^FF_EPS(QTR_R,0)":-6.349,"ADP^FE_ESTIMATE(EPS,MEAN,QTR_ROLL,-0,0,,,'')":2.62,"PCAR^FG_COMPANY_NAME":"PACCAR Inc","META^FG_COMPANY_NAME":"Meta Platforms Inc Class A","C^FG_COMPANY_NAME":"Citigroup Inc.","VMC^JULIAN(FF_EPS(QTR_R,0).DATES)":46022,"PFE^JULIAN(FF_EPS(QTR_R,0).DATES)":46022,"LUV^FF_EPS(QTR_R,0)":0.6219,"CINF^FE_ESTIMATE(EPS,MEAN,QTR_ROLL,-0,0,,,'')":3.37,"BLDR^FE_ESTIMATE(EPS,MEAN,QTR_ROLL,-0,0,,,'')":1.12,"OXY^FG_COMPANY_NAME":"Occidental Petroleum Corporation","MET^FG_COMPANY_NAME":"MetLife, Inc.","IRM^FG_COMPANY_NAME":"Iron Mountain, Inc.","CVS^FG_COMPANY_NAME":"CVS Health Corporation","BXP^FG_COMPANY_NAME":"BXP Inc","ALL^FG_COMPANY_NAME":"Allstate Corporation","VLTO^FE_ESTIMATE(EPS,MEAN,QTR_ROLL,-0,0,,,'')":1.04,"LMT^FF_EPS(QTR_R,0)":5.7956,"CVX^FE_ESTIMATE(EPS,MEAN,QTR_ROLL,-0,0,,,'')":1.52,"CINF^FF_EPS(QTR_R,0)":4.2921,"SWKS^FG_COMPANY_NAME":"Skyworks Solutions, Inc.","MDT^FG_COMPANY_NAME":"Medtronic Plc","IDXX^FG_COMPANY_NAME":"IDEXX Laboratories, Inc.","CTVA^FG_COMPANY_NAME":"Corteva Inc","BX^FG_COMPANY_NAME":"Blackstone Inc.","NUE^FG_COMPANY_NAME":"Nucor Corporation","ADP^FG_COMPANY_NAME":"Automatic Data Processing, Inc.","WST^FG_COMPANY_NAME":"West Pharmaceutical Services, Inc.","WMT^FG_COMPANY_NAME":"Walmart Inc.","HAL^FG_COMPANY_NAME":"Halliburton Company","CB^FE_ESTIMATE(EPS,MEAN,QTR_ROLL,-0,0,,,'')":7.52,"MTB^FG_COMPANY_NAME":"M&T Bank Corporation","FI^JULIAN(FF_EPS(QTR_R,0).DATES)":46022,"ICE^FG_COMPANY_NAME":"Intercontinental Exchange, Inc.","COST^FG_COMPANY_NAME":"Costco Wholesale Corporation","NUE^FF_EPS(QTR_R,0)":1.6376,"CSCO^FF_EPS(QTR_R,0)":0.7969,"ROST^FG_COMPANY_NAME":"Ross Stores, Inc.","GEN^JULIAN(FF_EPS(QTR_R,0).DATES)":46022,"BF.B^JULIAN(FF_EPS(QTR_R,0).DATES)":46052,"LRCX^FG_COMPANY_NAME":"Lam Research Corporation","AMD^JULIAN(FF_EPS(QTR_R,0).DATES)":46022,"DUK^FE_ESTIMATE(EPS,MEAN,QTR_ROLL,-0,0,,,'')":1.5,"EOG^FG_COMPANY_NAME":"EOG Resources, Inc.","COST^FE_ESTIMATE(EPS,MEAN,QTR_ROLL,-0,0,,,'')":4.58,"MTCH^FG_COMPANY_NAME":"Match Group, Inc.","ENPH^FG_COMPANY_NAME":"Enphase Energy, Inc.","AIZ^FF_EPS(QTR_R,0)":4.4448,"BF.B^FE_ESTIMATE(EPS,MEAN,QTR_ROLL,-0,0,,,'')":0.58,"SMCI^FE_ESTIMATE(EPS,MEAN,QTR_ROLL,-0,0,,,'')":0.69,"AMD^FF_EPS(QTR_R,0)":0.9163,"HAS^FG_COMPANY_NAME":"Hasbro, Inc.","KR^FG_COMPANY_NAME":"Kroger Co.","BDX^FG_COMPANY_NAME":"Becton, Dickinson and Company","RMD^FG_COMPANY_NAME":"ResMed Inc.","MS^FF_EPS(QTR_R,0)":2.6797,"AZO^FE_ESTIMATE(EPS,MEAN,QTR_ROLL,-0,0,,,'')":27.63,"KO^FG_COMPANY_NAME":"Coca-Cola Company","MRO^JULIAN(FF_EPS(QTR_R,0).DATES)":45565,"FITB^JULIAN(FF_EPS(QTR_R,0).DATES)":46022,"DRI^FF_EPS(QTR_R,0)":2.65,"DRI^FG_COMPANY_NAME":"Darden Restaurants, Inc.","IRM^FF_EPS(QTR_R,0)":0.2992,"CB^FF_EPS(QTR_R,0)":8.0958,"USB^FG_COMPANY_NAME":"U.S. Bancorp","TJX^FE_ESTIMATE(EPS,MEAN,QTR_ROLL,-0,0,,,'')":1.43,"PEP^FF_EPS(QTR_R,0)":1.8527,"GPC^FE_ESTIMATE(EPS,MEAN,QTR_ROLL,-0,0,,,'')":1.55,"BLDR^JULIAN(FF_EPS(QTR_R,0).DATES)":46022,"ANSS^JULIAN(FF_EPS(QTR_R,0).DATES)":45747,"ABNB^FF_EPS(QTR_R,0)":0.5554,"OTIS^FG_COMPANY_NAME":"Otis Worldwide Corporation","FCNCA^FG_COMPANY_NAME":"First Citizens BancShares, Inc. Class A","LHX^FE_ESTIMATE(EPS,MEAN,QTR_ROLL,-0,0,,,'')":2.86,"CSGP^FE_ESTIMATE(EPS,MEAN,QTR_ROLL,-0,0,,,'')":0.31,"ADM^FG_COMPANY_NAME":"Archer-Daniels-Midland Company","BEN^FG_COMPANY_NAME":"Franklin Resources, Inc.","NTRS^FE_ESTIMATE(EPS,MEAN,QTR_ROLL,-0,0,,,'')":2.6365135,"AJG^FF_EPS(QTR_R,0)":0.5802,"PYPL^JULIAN(FF_EPS(QTR_R,0).DATES)":46022,"HUBB^FF_EPS(QTR_R,0)":4.1832,"DG^FF_EPS(QTR_R,0)":1.9262,"BXP^FF_EPS(QTR_R,0)":1.5617,"ATVI^JULIAN(FF_EPS(QTR_R,0).DATES)":45107,"TROW^FG_COMPANY_NAME":"T. Rowe Price Group, Inc.","JBHT^FG_COMPANY_NAME":"J.B. Hunt Transport Services, Inc.","GDDY^FG_COMPANY_NAME":"GoDaddy, Inc. Class A","CF^FG_COMPANY_NAME":"CF Industries Holdings, Inc.","PXD^FF_EPS(QTR_R,0)":4.5732,"EXR^FE_ESTIMATE(EPS,MEAN,QTR_ROLL,-0,0,,,'')":1.36,"CMI^FE_ESTIMATE(EPS,MEAN,QTR_ROLL,-0,0,,,'')":5.838345,"BX^FE_ESTIMATE(EPS,MEAN,QTR_ROLL,-0,0,,,'')":1.75,"ATO^FF_EPS(QTR_R,0)":2.4433,"ADSK^JULIAN(FF_EPS(QTR_R,0).DATES)":46052,"TRMB^FG_COMPANY_NAME":"Trimble Inc.","PNR^FG_COMPANY_NAME":"Pentair plc","FTV^FG_COMPANY_NAME":"Fortive Corp.","DOV^FG_COMPANY_NAME":"Dover Corporation","NUE^FE_ESTIMATE(EPS,MEAN,QTR_ROLL,-0,0,,,'')":1.73,"EQR^JULIAN(FF_EPS(QTR_R,0).DATES)":46022,"CVX^JULIAN(FF_EPS(QTR_R,0).DATES)":46022,"CI^JULIAN(FF_EPS(QTR_R,0).DATES)":46022,"AAPL^FE_ESTIMATE(EPS,MEAN,QTR_ROLL,-0,0,,,'')":2.84,"EFX^FF_EPS(QTR_R,0)":1.4374,"CE^FE_ESTIMATE(EPS,MEAN,QTR_ROLL,-0,0,,,'')":0.67,"NTAP^FG_COMPANY_NAME":"NetApp, Inc.","FAST^FG_COMPANY_NAME":"Fastenal Company","TGT^FE_ESTIMATE(EPS,MEAN,QTR_ROLL,-0,0,,,'')":2.44,"GEN^FF_EPS(QTR_R,0)":0.3107,"CE^JULIAN(FF_EPS(QTR_R,0).DATES)":46022,"AMD^FE_ESTIMATE(EPS,MEAN,QTR_ROLL,-0,0,,,'')":1.53,"EFX^JULIAN(FF_EPS(QTR_R,0).DATES)":46022,"ROK^FG_COMPANY_NAME":"Rockwell Automation, Inc.","NRG^FG_COMPANY_NAME":"NRG Energy, Inc.","EPAM^FG_COMPANY_NAME":"EPAM Systems, Inc.","MS^FE_ESTIMATE(EPS,MEAN,QTR_ROLL,-0,0,,,'')":2.68,"CPAY^JULIAN(FF_EPS(QTR_R,0).DATES)":46022,"DTE^FE_ESTIMATE(EPS,MEAN,QTR_ROLL,-0,0,,,'')":1.65,"VICI^FG_COMPANY_NAME":"VICI Properties Inc","CHRW^FG_COMPANY_NAME":"C.H. Robinson Worldwide, Inc.","COST^JULIAN(FF_EPS(QTR_R,0).DATES)":46080,"AXP^FE_ESTIMATE(EPS,MEAN,QTR_ROLL,-0,0,,,'')":3.53,"APH^FG_COMPANY_NAME":"Amphenol Corporation Class A","MRNA^FE_ESTIMATE(EPS,MEAN,QTR_ROLL,-0,0,,,'')":-2.11,"PPL^FG_COMPANY_NAME":"PPL Corporation"}]]></FdsFormulaCache>
</file>

<file path=customXml/itemProps1.xml><?xml version="1.0" encoding="utf-8"?>
<ds:datastoreItem xmlns:ds="http://schemas.openxmlformats.org/officeDocument/2006/customXml" ds:itemID="{F0081989-10C5-42C4-8DED-4BAFE4A5ECD9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prasham jain</dc:creator>
  <cp:lastModifiedBy>prasham jain</cp:lastModifiedBy>
  <dcterms:created xsi:type="dcterms:W3CDTF">2026-02-16T07:16:57Z</dcterms:created>
  <dcterms:modified xsi:type="dcterms:W3CDTF">2026-03-27T15:29:42Z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